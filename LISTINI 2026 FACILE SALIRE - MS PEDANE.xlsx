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ropbox\facilesalire_amministrazione\Listini di vendita\2026\"/>
    </mc:Choice>
  </mc:AlternateContent>
  <xr:revisionPtr revIDLastSave="0" documentId="13_ncr:1_{564E11D4-2E20-4BD6-8E43-A3F298778EE6}" xr6:coauthVersionLast="47" xr6:coauthVersionMax="47" xr10:uidLastSave="{00000000-0000-0000-0000-000000000000}"/>
  <bookViews>
    <workbookView xWindow="28680" yWindow="-120" windowWidth="29040" windowHeight="15720" tabRatio="626" xr2:uid="{86387587-E30A-A945-9939-72CEC01B5399}"/>
  </bookViews>
  <sheets>
    <sheet name="Facile Step SRC" sheetId="5" r:id="rId1"/>
    <sheet name="Facile Step SSC" sheetId="6" r:id="rId2"/>
    <sheet name="Facile Step X3" sheetId="8" r:id="rId3"/>
    <sheet name="Facile Step ARTIRA" sheetId="1" r:id="rId4"/>
  </sheets>
  <definedNames>
    <definedName name="_xlnm._FilterDatabase" localSheetId="0" hidden="1">'Facile Step SRC'!$B$20:$H$20</definedName>
    <definedName name="_xlnm._FilterDatabase" localSheetId="1" hidden="1">'Facile Step SSC'!#REF!</definedName>
    <definedName name="Cod_clienti" localSheetId="1">#REF!</definedName>
    <definedName name="Cod_clienti">#REF!</definedName>
    <definedName name="Elenco0_1" localSheetId="1">#REF!</definedName>
    <definedName name="Elenco0_1">#REF!</definedName>
    <definedName name="Elenco0_7" localSheetId="1">#REF!</definedName>
    <definedName name="Elenco0_7">#REF!</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st" localSheetId="0" hidden="1">1</definedName>
    <definedName name="solver_est" localSheetId="1" hidden="1">1</definedName>
    <definedName name="solver_itr" localSheetId="0" hidden="1">100</definedName>
    <definedName name="solver_itr" localSheetId="1" hidden="1">100</definedName>
    <definedName name="solver_lin" localSheetId="0" hidden="1">2</definedName>
    <definedName name="solver_lin" localSheetId="1" hidden="1">2</definedName>
    <definedName name="solver_neg" localSheetId="0" hidden="1">2</definedName>
    <definedName name="solver_neg" localSheetId="1" hidden="1">2</definedName>
    <definedName name="solver_num" localSheetId="0" hidden="1">0</definedName>
    <definedName name="solver_num" localSheetId="1" hidden="1">0</definedName>
    <definedName name="solver_nwt" localSheetId="0" hidden="1">1</definedName>
    <definedName name="solver_nwt" localSheetId="1" hidden="1">1</definedName>
    <definedName name="solver_opt" localSheetId="0" hidden="1">'Facile Step SRC'!$G$12</definedName>
    <definedName name="solver_opt" localSheetId="1" hidden="1">'Facile Step SSC'!$G$12</definedName>
    <definedName name="solver_pre" localSheetId="0" hidden="1">0.000001</definedName>
    <definedName name="solver_pre" localSheetId="1" hidden="1">0.000001</definedName>
    <definedName name="solver_scl" localSheetId="0" hidden="1">2</definedName>
    <definedName name="solver_scl" localSheetId="1" hidden="1">2</definedName>
    <definedName name="solver_sho" localSheetId="0" hidden="1">2</definedName>
    <definedName name="solver_sho" localSheetId="1" hidden="1">2</definedName>
    <definedName name="solver_tim" localSheetId="0" hidden="1">100</definedName>
    <definedName name="solver_tim" localSheetId="1" hidden="1">100</definedName>
    <definedName name="solver_tol" localSheetId="0" hidden="1">0.05</definedName>
    <definedName name="solver_tol" localSheetId="1" hidden="1">0.05</definedName>
    <definedName name="solver_typ" localSheetId="0" hidden="1">1</definedName>
    <definedName name="solver_typ" localSheetId="1" hidden="1">1</definedName>
    <definedName name="solver_val" localSheetId="0" hidden="1">0</definedName>
    <definedName name="solver_val" localSheetId="1" hidden="1">0</definedName>
    <definedName name="TipoCorsa" localSheetId="1">#REF!</definedName>
    <definedName name="TipoCorsa">#REF!</definedName>
    <definedName name="TipoCorsa_7" localSheetId="1">#REF!</definedName>
    <definedName name="TipoCorsa_7">#REF!</definedName>
    <definedName name="VanoMet" localSheetId="1">#REF!</definedName>
    <definedName name="VanoM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8" l="1"/>
  <c r="H61" i="8"/>
  <c r="H50" i="6"/>
  <c r="H49" i="6"/>
  <c r="H45" i="5"/>
  <c r="H44" i="5"/>
  <c r="H97" i="1"/>
  <c r="H98" i="1"/>
  <c r="H86" i="1"/>
  <c r="H87" i="1"/>
  <c r="H70" i="1"/>
  <c r="H71" i="1"/>
  <c r="W6" i="8"/>
  <c r="W17" i="8"/>
  <c r="W18" i="8" s="1"/>
  <c r="H54" i="8"/>
  <c r="H52" i="8"/>
  <c r="H51" i="8"/>
  <c r="H50" i="8"/>
  <c r="H49" i="8"/>
  <c r="H48" i="8"/>
  <c r="H47" i="8"/>
  <c r="H46" i="8"/>
  <c r="H45" i="8"/>
  <c r="H44" i="8"/>
  <c r="H43" i="8"/>
  <c r="H42" i="8"/>
  <c r="H41" i="8"/>
  <c r="H40" i="8"/>
  <c r="H39" i="8"/>
  <c r="H38" i="8"/>
  <c r="H37" i="8"/>
  <c r="H36" i="8"/>
  <c r="H35" i="8"/>
  <c r="H34" i="8"/>
  <c r="H33" i="8"/>
  <c r="H31" i="8"/>
  <c r="H30" i="8"/>
  <c r="H25" i="8"/>
  <c r="H17" i="8"/>
  <c r="H15" i="8"/>
  <c r="H14" i="8"/>
  <c r="H13" i="8"/>
  <c r="H12" i="8"/>
  <c r="H11" i="8"/>
  <c r="H10" i="8"/>
  <c r="H9" i="8"/>
  <c r="H8" i="8"/>
  <c r="H7" i="8"/>
  <c r="H6" i="8"/>
  <c r="AC12" i="8" l="1"/>
  <c r="H28" i="8"/>
  <c r="H29" i="8"/>
  <c r="H26" i="8"/>
  <c r="W19" i="8" l="1"/>
  <c r="W16" i="8"/>
  <c r="W14" i="8"/>
  <c r="G22" i="8" s="1"/>
  <c r="H22" i="8" s="1"/>
  <c r="W12" i="8"/>
  <c r="G21" i="8" s="1"/>
  <c r="H21" i="8" s="1"/>
  <c r="W11" i="8"/>
  <c r="G20" i="8" s="1"/>
  <c r="H20" i="8" s="1"/>
  <c r="W9" i="8"/>
  <c r="AD12" i="8"/>
  <c r="W7" i="8" s="1"/>
  <c r="W15" i="8"/>
  <c r="G23" i="8" s="1"/>
  <c r="H23" i="8" s="1"/>
  <c r="W10" i="8"/>
  <c r="G19" i="8" s="1"/>
  <c r="H19" i="8" s="1"/>
  <c r="G18" i="8" l="1"/>
  <c r="H18" i="8" s="1"/>
  <c r="F57" i="8" s="1"/>
  <c r="G59" i="8" s="1"/>
  <c r="W13" i="8"/>
  <c r="H43" i="1" l="1"/>
  <c r="H40" i="1"/>
  <c r="H12" i="1"/>
  <c r="H13" i="1"/>
  <c r="H14" i="1"/>
  <c r="H15" i="1"/>
  <c r="H16" i="1"/>
  <c r="H17" i="1"/>
  <c r="H19" i="1"/>
  <c r="H20" i="1"/>
  <c r="H10" i="1"/>
  <c r="G64" i="8" l="1"/>
  <c r="H64" i="8" s="1"/>
  <c r="F90" i="1"/>
  <c r="G61" i="8" l="1"/>
  <c r="H29" i="5"/>
  <c r="H32" i="6"/>
  <c r="H38" i="6"/>
  <c r="H90" i="1"/>
  <c r="F92" i="1"/>
  <c r="H22" i="1" l="1"/>
  <c r="H24" i="1"/>
  <c r="H25" i="1"/>
  <c r="H26" i="1"/>
  <c r="H27" i="1"/>
  <c r="H28" i="1"/>
  <c r="H30" i="1"/>
  <c r="H31" i="1"/>
  <c r="H32" i="1"/>
  <c r="H33" i="1"/>
  <c r="H34" i="1"/>
  <c r="H35" i="1"/>
  <c r="H36" i="1"/>
  <c r="H37" i="1"/>
  <c r="H38" i="1"/>
  <c r="H39" i="1"/>
  <c r="H42" i="1"/>
  <c r="H44" i="1"/>
  <c r="H45" i="1"/>
  <c r="H46" i="1"/>
  <c r="H49" i="1"/>
  <c r="H50" i="1"/>
  <c r="H51" i="1"/>
  <c r="H52" i="1"/>
  <c r="H53" i="1"/>
  <c r="H55" i="1"/>
  <c r="H56" i="1"/>
  <c r="H57" i="1"/>
  <c r="H59" i="1"/>
  <c r="H60" i="1"/>
  <c r="H61" i="1"/>
  <c r="H62" i="1"/>
  <c r="H63" i="1"/>
  <c r="H65" i="1"/>
  <c r="H66" i="1"/>
  <c r="H67" i="1"/>
  <c r="H68" i="1"/>
  <c r="H69" i="1"/>
  <c r="H72" i="1"/>
  <c r="H73" i="1"/>
  <c r="H74" i="1"/>
  <c r="H75" i="1"/>
  <c r="H76" i="1"/>
  <c r="H77" i="1"/>
  <c r="H78" i="1"/>
  <c r="H79" i="1"/>
  <c r="H80" i="1"/>
  <c r="H81" i="1"/>
  <c r="H82" i="1"/>
  <c r="H83" i="1"/>
  <c r="H84" i="1"/>
  <c r="H85" i="1"/>
  <c r="H88" i="1"/>
  <c r="F93" i="1" l="1"/>
  <c r="G95" i="1" s="1"/>
  <c r="G97" i="1" l="1"/>
  <c r="G100" i="1"/>
  <c r="H35" i="5"/>
  <c r="H36" i="5"/>
  <c r="H37" i="5"/>
  <c r="H38" i="5"/>
  <c r="H8" i="5"/>
  <c r="H9" i="5"/>
  <c r="H10" i="5"/>
  <c r="H11" i="5"/>
  <c r="H12" i="5"/>
  <c r="H14" i="5"/>
  <c r="H15" i="5"/>
  <c r="H16" i="5"/>
  <c r="H17" i="5"/>
  <c r="H18" i="5"/>
  <c r="H19" i="5"/>
  <c r="H20" i="5"/>
  <c r="H21" i="5"/>
  <c r="H22" i="5"/>
  <c r="H23" i="5"/>
  <c r="H24" i="5"/>
  <c r="H25" i="5"/>
  <c r="H26" i="5"/>
  <c r="H27" i="5"/>
  <c r="H6" i="5"/>
  <c r="F40" i="5" l="1"/>
  <c r="G42" i="5" s="1"/>
  <c r="G44" i="5" s="1"/>
  <c r="H39" i="6"/>
  <c r="H40" i="6"/>
  <c r="H41" i="6"/>
  <c r="H42" i="6"/>
  <c r="H43" i="6"/>
  <c r="H8" i="6"/>
  <c r="H9" i="6"/>
  <c r="H10" i="6"/>
  <c r="H11" i="6"/>
  <c r="H12" i="6"/>
  <c r="H13" i="6"/>
  <c r="H14" i="6"/>
  <c r="H15" i="6"/>
  <c r="H17" i="6"/>
  <c r="H18" i="6"/>
  <c r="H19" i="6"/>
  <c r="H20" i="6"/>
  <c r="H21" i="6"/>
  <c r="H22" i="6"/>
  <c r="H23" i="6"/>
  <c r="H24" i="6"/>
  <c r="H25" i="6"/>
  <c r="H26" i="6"/>
  <c r="H27" i="6"/>
  <c r="H28" i="6"/>
  <c r="H29" i="6"/>
  <c r="H30" i="6"/>
  <c r="H6" i="6"/>
  <c r="F45" i="6" l="1"/>
  <c r="G47" i="6" s="1"/>
  <c r="G47" i="5"/>
  <c r="H47" i="5" s="1"/>
  <c r="G49" i="6" l="1"/>
  <c r="G52" i="6"/>
  <c r="H52" i="6" s="1"/>
  <c r="H100"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<sst xmlns="http://schemas.openxmlformats.org/spreadsheetml/2006/main" count="367" uniqueCount="228">
  <si>
    <t>Prezzo base impianto</t>
  </si>
  <si>
    <t>Dimensioni Piattaforma:</t>
  </si>
  <si>
    <t>640x680</t>
  </si>
  <si>
    <t>700X750</t>
  </si>
  <si>
    <t>800X800</t>
  </si>
  <si>
    <t>800x900</t>
  </si>
  <si>
    <t>800x1050</t>
  </si>
  <si>
    <t>800x1220</t>
  </si>
  <si>
    <t>GUIDE</t>
  </si>
  <si>
    <t>Corsa Impianto (Metro Binario)</t>
  </si>
  <si>
    <t>Partenza Veicolo</t>
  </si>
  <si>
    <t xml:space="preserve">Diritta  </t>
  </si>
  <si>
    <t>Diritta Ridotta</t>
  </si>
  <si>
    <t>90°</t>
  </si>
  <si>
    <t>180°</t>
  </si>
  <si>
    <t>Speciale</t>
  </si>
  <si>
    <t>Arrivo Veicolo</t>
  </si>
  <si>
    <t>Diritto</t>
  </si>
  <si>
    <t>Curva di percorso a 180°</t>
  </si>
  <si>
    <t>Curva di percorso a 90°</t>
  </si>
  <si>
    <t>Curva Negativa  (&lt;90°)</t>
  </si>
  <si>
    <t>Eccedenza Orizzontale - 3° Tubo</t>
  </si>
  <si>
    <t>FISSAGGIO</t>
  </si>
  <si>
    <t>Fissaggio a Muro</t>
  </si>
  <si>
    <t>Fissaggio a Muro con Contro-Piastre</t>
  </si>
  <si>
    <t>Fissaggio a Gradino</t>
  </si>
  <si>
    <t>Fissaggio a Zoccolo</t>
  </si>
  <si>
    <t>Fissaggio nell'Occhio della Scala</t>
  </si>
  <si>
    <t>GRUPPO DI TRAINO</t>
  </si>
  <si>
    <t>Posizionamento Gruppo di Traino</t>
  </si>
  <si>
    <t>Collo d'oca</t>
  </si>
  <si>
    <t>Posizione speciale</t>
  </si>
  <si>
    <t>Gruppo di Traino + Inverter</t>
  </si>
  <si>
    <t>Compact drive</t>
  </si>
  <si>
    <t>Standard drive</t>
  </si>
  <si>
    <t>No drive</t>
  </si>
  <si>
    <t> LAVORAZIONI E FINITURE</t>
  </si>
  <si>
    <t>Tondino su tubo guida superiore (Paradito)</t>
  </si>
  <si>
    <t>Zincatura + Verniciatura</t>
  </si>
  <si>
    <t>Zincatura TOTALE Impianto</t>
  </si>
  <si>
    <t>Verniciatura guide e sostegni RAL (a richiesta)</t>
  </si>
  <si>
    <t>Verniciatura veicolo + traino completo RAL SPECIALE</t>
  </si>
  <si>
    <t>OPTIONALS</t>
  </si>
  <si>
    <t>Pulsantiera Accompagnatore</t>
  </si>
  <si>
    <t>Stazione di Chiamata Intermedie (2 pulsantiere comprese)</t>
  </si>
  <si>
    <t>Tettuccio copripulsantiera per impianti esterni</t>
  </si>
  <si>
    <t>Pilastrino per pulsantiera</t>
  </si>
  <si>
    <t>Alettoni speciali diversi da 200mm (min.100mm max.300mm)</t>
  </si>
  <si>
    <t>Imbarco laterale (escluso 640x680)</t>
  </si>
  <si>
    <t>Tamponamenti Plexiglass</t>
  </si>
  <si>
    <t>Parapiede pieghevole (solo 900/1050 obbligatorio 1220)</t>
  </si>
  <si>
    <t>Seggiolino Imbottito</t>
  </si>
  <si>
    <t>Chiave abilitazione comandi veicolo</t>
  </si>
  <si>
    <t>Bloccaggio Piattaforma a mezzo solenoide (Automatica)</t>
  </si>
  <si>
    <t>Telo di Copertura per veicoli 640/750/800/900</t>
  </si>
  <si>
    <t>Lampeggiante e Cicalino da parete (tipo robusto Canadese AV)</t>
  </si>
  <si>
    <t>Chiavi aggiuntive</t>
  </si>
  <si>
    <t>Portata 300 Kg fissaggio a muro (se richiesto è obbligatorio tondino paradito)</t>
  </si>
  <si>
    <t>Portata 300 Kg fissaggio a pilastrino (se richiesto è obbligatorio tondino paradito)</t>
  </si>
  <si>
    <t>Trasparente</t>
  </si>
  <si>
    <t>Fumè</t>
  </si>
  <si>
    <t>Posizione Impianto</t>
  </si>
  <si>
    <t>Interno</t>
  </si>
  <si>
    <t>Esterno</t>
  </si>
  <si>
    <t>Destro</t>
  </si>
  <si>
    <t>Sinistro</t>
  </si>
  <si>
    <t>Configurazione impianto</t>
  </si>
  <si>
    <t>Lato impianto</t>
  </si>
  <si>
    <t>Caratteristiche Veicolo</t>
  </si>
  <si>
    <t>Si</t>
  </si>
  <si>
    <t>No</t>
  </si>
  <si>
    <t>Metri</t>
  </si>
  <si>
    <t>Numero</t>
  </si>
  <si>
    <t>BASE IMPIANTO</t>
  </si>
  <si>
    <t>N° OFFERTA</t>
  </si>
  <si>
    <t>Curva di percorso a Pedoca (disegno speciale inviare photosurvey)</t>
  </si>
  <si>
    <t>Curva Raggio Variabile (disegno speciale inviare photosurvey)</t>
  </si>
  <si>
    <t>Base Orizzontale - 3° Tubo (include 1m di percorso e i cambi di pendenza)</t>
  </si>
  <si>
    <t>Ogni alzata della scala</t>
  </si>
  <si>
    <t>Ogni metro di guida (alzate fuori standard, rampe, ecc.)</t>
  </si>
  <si>
    <t>Colonnino chiamate ai piani (cad.)</t>
  </si>
  <si>
    <t>Cadauna fermata intermedia (con scatola chiamata/rimando)</t>
  </si>
  <si>
    <t>Comando acustico luminoso a bordo</t>
  </si>
  <si>
    <t>Pulsantiera estensibile per accompagnatore</t>
  </si>
  <si>
    <t>Ribaltamento meccanizzato piattaforma</t>
  </si>
  <si>
    <t>Strapuntino ribaltabile</t>
  </si>
  <si>
    <t>Piattaforma 840x700 mm</t>
  </si>
  <si>
    <t>Piattaforma speciale su misura</t>
  </si>
  <si>
    <t>Bandella laterale mobile (SML)</t>
  </si>
  <si>
    <t>Telo di copertura (obbligatorio per impianti all'esterno)</t>
  </si>
  <si>
    <t>variato 02/03</t>
  </si>
  <si>
    <t>Gruppo soccorritore anti black-out</t>
  </si>
  <si>
    <t>Ogni alzata</t>
  </si>
  <si>
    <t>Ogni metro di guida (alzate fuori standard, rampe…)</t>
  </si>
  <si>
    <t>Curva a 90° (anche parcheggio)</t>
  </si>
  <si>
    <t>Curva a 180° (anche parcheggio) max spessore inghiera 250mm</t>
  </si>
  <si>
    <t xml:space="preserve">DESCRIZIONE </t>
  </si>
  <si>
    <t xml:space="preserve">GUIDA  </t>
  </si>
  <si>
    <t>ACCESSORI</t>
  </si>
  <si>
    <t>TRASPORTO</t>
  </si>
  <si>
    <t xml:space="preserve">MONTAGGIO  </t>
  </si>
  <si>
    <t>DESCRIZIONE</t>
  </si>
  <si>
    <t>Seleziona</t>
  </si>
  <si>
    <t>Battery Back Up Compact Drive</t>
  </si>
  <si>
    <t>Battery Back Up Standard Drive</t>
  </si>
  <si>
    <t>Battery Back Up Super Drive</t>
  </si>
  <si>
    <t>Richiesta speciale (da approvare)</t>
  </si>
  <si>
    <t>Piattaforma speciale (da approvare)</t>
  </si>
  <si>
    <t>Piattaforma speciale CHIOCCIOLA (da approvare)</t>
  </si>
  <si>
    <t>FACILE STEP (SRC rettilineo)</t>
  </si>
  <si>
    <t>FACILE STEP (SSC curvilineo)</t>
  </si>
  <si>
    <t>FACILE STEP (ARTIRA curvilineo)</t>
  </si>
  <si>
    <r>
      <t xml:space="preserve">Installazione </t>
    </r>
    <r>
      <rPr>
        <b/>
        <sz val="12"/>
        <color rgb="FFFF0000"/>
        <rFont val="Calibri"/>
        <family val="2"/>
        <scheme val="minor"/>
      </rPr>
      <t>in omaggio</t>
    </r>
  </si>
  <si>
    <r>
      <t>Trasporto</t>
    </r>
    <r>
      <rPr>
        <b/>
        <sz val="12"/>
        <color rgb="FFFF0000"/>
        <rFont val="Calibri"/>
        <family val="2"/>
        <scheme val="minor"/>
      </rPr>
      <t xml:space="preserve"> in omaggio</t>
    </r>
  </si>
  <si>
    <t>PROMO</t>
  </si>
  <si>
    <t>PREZZO DI LISTINO</t>
  </si>
  <si>
    <t>Tipo di scala</t>
  </si>
  <si>
    <t>SMONTAGGIO E SMALTIMENTO</t>
  </si>
  <si>
    <t>Smontaggio e smaltimento impianto</t>
  </si>
  <si>
    <t>Smontaggio e smaltimento impianto preesistente</t>
  </si>
  <si>
    <t>Pacchetto Valore</t>
  </si>
  <si>
    <t>Trasporto nei centri storici con ZTL- zona blu</t>
  </si>
  <si>
    <t>Fermata intermedia (cad.)</t>
  </si>
  <si>
    <t>Ogni curva</t>
  </si>
  <si>
    <t>Curva zincata (supplemento cadauna)</t>
  </si>
  <si>
    <t>Aggiungi nota</t>
  </si>
  <si>
    <t>Contributo per sopralluogo rilievi</t>
  </si>
  <si>
    <t>Colore RAL a richiesta pedana e binario</t>
  </si>
  <si>
    <t xml:space="preserve">Piattaforma 840x650 ribaltabile manualmente, bandelle mobili automatiche, dispositivi di sicurezza </t>
  </si>
  <si>
    <t>FACILE STEP (X3 rettilineo)</t>
  </si>
  <si>
    <t>Prezzo Base Impianto</t>
  </si>
  <si>
    <t>1a</t>
  </si>
  <si>
    <t>Guida tagliata / forata a misura</t>
  </si>
  <si>
    <t>Sezione guida 1,0m</t>
  </si>
  <si>
    <t>Sezione guida 1,4m</t>
  </si>
  <si>
    <t>Sezione guida 1,8m</t>
  </si>
  <si>
    <t>Sezione guida 2,2m</t>
  </si>
  <si>
    <t>Kit giunzione</t>
  </si>
  <si>
    <t>Fissaggi guida inferiore</t>
  </si>
  <si>
    <t>LAVORAZIONI E FINITURE</t>
  </si>
  <si>
    <t>Zincatura Pilastrini</t>
  </si>
  <si>
    <t>Verniciatura sostegni RAL (a richiesta)</t>
  </si>
  <si>
    <t>Verniciatura guida RAL (a richiesta)</t>
  </si>
  <si>
    <t>Verniciatura Veicolo completo RAL (a richiesta)</t>
  </si>
  <si>
    <t>Tamponamenti PLEXIGLASS</t>
  </si>
  <si>
    <t>Prolunga per rampe</t>
  </si>
  <si>
    <t>Destra</t>
  </si>
  <si>
    <t>Sinistra</t>
  </si>
  <si>
    <t>Rampe fisse</t>
  </si>
  <si>
    <t>Telo di Copertura per veicoli</t>
  </si>
  <si>
    <t>Bloccaggio piattaforma solenoide (AUTO)</t>
  </si>
  <si>
    <t>Parapiede pieghevole (solo 900/1050/1220)</t>
  </si>
  <si>
    <t>Battery 18Am OBBLIGATORIO SE DIAGONAL STAIR&gt;6MT</t>
  </si>
  <si>
    <t>Chiavi supplementari</t>
  </si>
  <si>
    <t>25a</t>
  </si>
  <si>
    <t>One Touch Alert</t>
  </si>
  <si>
    <t>25b</t>
  </si>
  <si>
    <t>Kit spessori per fissaggio a muro (10 pezzi)</t>
  </si>
  <si>
    <t>Totale Listino</t>
  </si>
  <si>
    <t>UM</t>
  </si>
  <si>
    <t>CALCOLO DEL PREZZO DELLA GUIDA</t>
  </si>
  <si>
    <t>m</t>
  </si>
  <si>
    <t>diagonale naso-naso</t>
  </si>
  <si>
    <t>€</t>
  </si>
  <si>
    <t>prezzo totale</t>
  </si>
  <si>
    <t>composizione guida</t>
  </si>
  <si>
    <t>nr</t>
  </si>
  <si>
    <t>sezione guida 1000</t>
  </si>
  <si>
    <t>sezione guida 1400</t>
  </si>
  <si>
    <t>sezione guida 1800</t>
  </si>
  <si>
    <t>Rail costs simulation</t>
  </si>
  <si>
    <t>rail price</t>
  </si>
  <si>
    <t>sezione guida 2200</t>
  </si>
  <si>
    <t>slope (m)</t>
  </si>
  <si>
    <t>numero di sezioni guida</t>
  </si>
  <si>
    <t>KIT giunzione</t>
  </si>
  <si>
    <t>fissaggi guida inferiore</t>
  </si>
  <si>
    <t>mm</t>
  </si>
  <si>
    <t>Lunghezza eccedente</t>
  </si>
  <si>
    <t>Lunghezza fissaggio a gradino</t>
  </si>
  <si>
    <t>Numero di pilastrini</t>
  </si>
  <si>
    <t>Lunghezza totale guida</t>
  </si>
  <si>
    <t>rail section prices</t>
  </si>
  <si>
    <t>splice price</t>
  </si>
  <si>
    <t>bracket price</t>
  </si>
  <si>
    <t>Slope to floor (m)</t>
  </si>
  <si>
    <t>slope (nose to nose)</t>
  </si>
  <si>
    <t>Travel (last nose to flor)</t>
  </si>
  <si>
    <t>required rail length</t>
  </si>
  <si>
    <t>1000</t>
  </si>
  <si>
    <t>1400</t>
  </si>
  <si>
    <t>1800</t>
  </si>
  <si>
    <t>2200</t>
  </si>
  <si>
    <t>actual rail total length</t>
  </si>
  <si>
    <t>rail length excess (mm)</t>
  </si>
  <si>
    <t>q.ty of sections</t>
  </si>
  <si>
    <t>q.ty of splices</t>
  </si>
  <si>
    <t>bracket quantity</t>
  </si>
  <si>
    <t>Total rail price</t>
  </si>
  <si>
    <t>towers
q.ty</t>
  </si>
  <si>
    <t>\</t>
  </si>
  <si>
    <r>
      <t xml:space="preserve">Trasporto </t>
    </r>
    <r>
      <rPr>
        <b/>
        <sz val="12"/>
        <color rgb="FFFF0000"/>
        <rFont val="Calibri"/>
        <family val="2"/>
        <scheme val="minor"/>
      </rPr>
      <t>incluso</t>
    </r>
  </si>
  <si>
    <r>
      <t xml:space="preserve">Imballo </t>
    </r>
    <r>
      <rPr>
        <b/>
        <sz val="12"/>
        <color rgb="FFFF0000"/>
        <rFont val="Calibri"/>
        <family val="2"/>
        <scheme val="minor"/>
      </rPr>
      <t>incluso</t>
    </r>
  </si>
  <si>
    <r>
      <t xml:space="preserve">Montaggio base </t>
    </r>
    <r>
      <rPr>
        <b/>
        <sz val="12"/>
        <color rgb="FFFF0000"/>
        <rFont val="Calibri"/>
        <family val="2"/>
        <scheme val="minor"/>
      </rPr>
      <t>incluso</t>
    </r>
  </si>
  <si>
    <t>PREZZO RISERVATO</t>
  </si>
  <si>
    <r>
      <t xml:space="preserve">Trasporto </t>
    </r>
    <r>
      <rPr>
        <b/>
        <sz val="12"/>
        <color rgb="FFFF0000"/>
        <rFont val="Calibri"/>
        <family val="2"/>
      </rPr>
      <t>incluso</t>
    </r>
  </si>
  <si>
    <r>
      <t xml:space="preserve">Imballo </t>
    </r>
    <r>
      <rPr>
        <b/>
        <sz val="12"/>
        <color rgb="FFFF0000"/>
        <rFont val="Calibri"/>
        <family val="2"/>
      </rPr>
      <t>incluso</t>
    </r>
  </si>
  <si>
    <r>
      <t xml:space="preserve">Montaggio base </t>
    </r>
    <r>
      <rPr>
        <b/>
        <sz val="12"/>
        <color rgb="FFFF0000"/>
        <rFont val="Calibri"/>
        <family val="2"/>
      </rPr>
      <t>incluso</t>
    </r>
  </si>
  <si>
    <r>
      <t>Trasporto</t>
    </r>
    <r>
      <rPr>
        <b/>
        <sz val="12"/>
        <color rgb="FFFF0000"/>
        <rFont val="Calibri"/>
        <family val="2"/>
        <scheme val="minor"/>
      </rPr>
      <t xml:space="preserve"> incluso</t>
    </r>
  </si>
  <si>
    <r>
      <t xml:space="preserve">Installazione </t>
    </r>
    <r>
      <rPr>
        <b/>
        <sz val="12"/>
        <color rgb="FFFF0000"/>
        <rFont val="Calibri"/>
        <family val="2"/>
        <scheme val="minor"/>
      </rPr>
      <t>incluso</t>
    </r>
  </si>
  <si>
    <t xml:space="preserve">Corsa impianto (misura diagonale scala naso-naso) </t>
  </si>
  <si>
    <t>Piattaforma speciale</t>
  </si>
  <si>
    <t>Kit cavi collegamento, Compact Drive  (10 mt da Drive a Motore + 10 mt per alimentazione motore + 25 mt per pulsantiere)</t>
  </si>
  <si>
    <t>Kit cavi collegamento, Standard Drive (50 mt per pulsantiere)</t>
  </si>
  <si>
    <t>36a</t>
  </si>
  <si>
    <t>Ramp Extenions kit</t>
  </si>
  <si>
    <t>36b</t>
  </si>
  <si>
    <t>Short (fixed) ramp</t>
  </si>
  <si>
    <t>Portata maggiorata (200 Kg)</t>
  </si>
  <si>
    <t xml:space="preserve">Trattamento in cataforesi completa telaio, motrice, piattaforma </t>
  </si>
  <si>
    <t>Colore RAL a scelta della pedana e guida</t>
  </si>
  <si>
    <t>Rimando maniglione anticaduta lato salita sempre incluso nella base</t>
  </si>
  <si>
    <t>Consigliato</t>
  </si>
  <si>
    <t>Compreso</t>
  </si>
  <si>
    <t>+2 settimane</t>
  </si>
  <si>
    <t>Extra guida zincata per esterni in cataforesi (suppl. PER ALZATA)</t>
  </si>
  <si>
    <t>Extra guida zincata per esterni in cataforesi (suppl. PER METRO)</t>
  </si>
  <si>
    <t xml:space="preserve">Trattamento in CATAFORESI completa del telaio, motrice, piattaforma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</si>
</sst>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2]\ * #,##0.00_);_([$€-2]\ * \(#,##0.00\);_([$€-2]\ * &quot;-&quot;??_);_(@_)"/>
    <numFmt numFmtId="165" formatCode="#,##0.00\ &quot;€&quot;"/>
    <numFmt numFmtId="166" formatCode="_-[$€-2]\ * #,##0.00_-;\-[$€-2]\ * #,##0.00_-;_-[$€-2]\ * &quot;-&quot;??_-"/>
    <numFmt numFmtId="167" formatCode="0.0"/>
  </numFmts>
  <fonts count="33" x14ac:knownFonts="1">
    <font>
      <sz val="12"/>
      <color theme="1"/>
      <name val="Calibri"/>
      <family val="2"/>
      <scheme val="minor"/>
    </font>
    <font>
      <sz val="12"/>
      <color rgb="FF006100"/>
      <name val="Calibri"/>
      <family val="2"/>
      <scheme val="minor"/>
    </font>
    <font>
      <b/>
      <sz val="11"/>
      <color theme="1"/>
      <name val="Calibri"/>
      <family val="2"/>
      <scheme val="minor"/>
    </font>
    <font>
      <i/>
      <sz val="12"/>
      <color theme="1"/>
      <name val="Calibri"/>
      <family val="2"/>
      <scheme val="minor"/>
    </font>
    <font>
      <b/>
      <sz val="16"/>
      <color theme="1"/>
      <name val="Calibri"/>
      <family val="2"/>
      <scheme val="minor"/>
    </font>
    <font>
      <b/>
      <sz val="12"/>
      <color theme="1"/>
      <name val="Calibri"/>
      <family val="2"/>
      <scheme val="minor"/>
    </font>
    <font>
      <sz val="12"/>
      <color theme="0"/>
      <name val="Calibri"/>
      <family val="2"/>
      <scheme val="minor"/>
    </font>
    <font>
      <b/>
      <sz val="26"/>
      <color theme="0"/>
      <name val="Amasis MT Pro Medium"/>
      <family val="1"/>
    </font>
    <font>
      <b/>
      <sz val="12"/>
      <color theme="0"/>
      <name val="Calibri"/>
      <family val="2"/>
      <scheme val="minor"/>
    </font>
    <font>
      <b/>
      <sz val="14"/>
      <color theme="0"/>
      <name val="Calibri"/>
      <family val="2"/>
      <scheme val="minor"/>
    </font>
    <font>
      <b/>
      <sz val="16"/>
      <color theme="0"/>
      <name val="Calibri"/>
      <family val="2"/>
      <scheme val="minor"/>
    </font>
    <font>
      <b/>
      <sz val="16"/>
      <color rgb="FFFF0000"/>
      <name val="Calibri"/>
      <family val="2"/>
      <scheme val="minor"/>
    </font>
    <font>
      <sz val="10"/>
      <name val="Arial"/>
      <family val="2"/>
    </font>
    <font>
      <b/>
      <sz val="10"/>
      <name val="Arial"/>
      <family val="2"/>
    </font>
    <font>
      <b/>
      <sz val="12"/>
      <name val="Arial"/>
      <family val="2"/>
    </font>
    <font>
      <b/>
      <sz val="10"/>
      <color theme="1"/>
      <name val="Arial"/>
      <family val="2"/>
    </font>
    <font>
      <sz val="10"/>
      <color theme="1"/>
      <name val="Arial"/>
      <family val="2"/>
    </font>
    <font>
      <sz val="12"/>
      <color theme="1"/>
      <name val="Calibri"/>
      <family val="2"/>
    </font>
    <font>
      <b/>
      <sz val="12"/>
      <color theme="0"/>
      <name val="Calibri"/>
      <family val="2"/>
    </font>
    <font>
      <b/>
      <sz val="12"/>
      <color theme="1"/>
      <name val="Calibri"/>
      <family val="2"/>
    </font>
    <font>
      <sz val="12"/>
      <color theme="0"/>
      <name val="Calibri"/>
      <family val="2"/>
    </font>
    <font>
      <b/>
      <i/>
      <sz val="12"/>
      <color theme="1"/>
      <name val="Calibri"/>
      <family val="2"/>
    </font>
    <font>
      <i/>
      <sz val="12"/>
      <color theme="1"/>
      <name val="Calibri"/>
      <family val="2"/>
    </font>
    <font>
      <b/>
      <sz val="12"/>
      <color rgb="FFFF0000"/>
      <name val="Calibri"/>
      <family val="2"/>
    </font>
    <font>
      <b/>
      <sz val="12"/>
      <color rgb="FFFF0000"/>
      <name val="Calibri"/>
      <family val="2"/>
      <scheme val="minor"/>
    </font>
    <font>
      <b/>
      <i/>
      <sz val="12"/>
      <color rgb="FFFF0000"/>
      <name val="Calibri"/>
      <family val="2"/>
      <scheme val="minor"/>
    </font>
    <font>
      <b/>
      <i/>
      <sz val="12"/>
      <color rgb="FFFF0000"/>
      <name val="Calibri"/>
      <family val="2"/>
    </font>
    <font>
      <b/>
      <sz val="14"/>
      <color rgb="FFFF0000"/>
      <name val="Calibri"/>
      <family val="2"/>
      <scheme val="minor"/>
    </font>
    <font>
      <b/>
      <sz val="22"/>
      <color rgb="FF00B050"/>
      <name val="Calibri"/>
      <family val="2"/>
      <scheme val="minor"/>
    </font>
    <font>
      <b/>
      <sz val="18"/>
      <color theme="1"/>
      <name val="Calibri"/>
      <family val="2"/>
      <scheme val="minor"/>
    </font>
    <font>
      <sz val="12"/>
      <color theme="1"/>
      <name val="Calibri"/>
      <family val="2"/>
      <scheme val="minor"/>
    </font>
    <font>
      <b/>
      <sz val="16"/>
      <color rgb="FFFF0000"/>
      <name val="Arial"/>
      <family val="2"/>
    </font>
    <font>
      <b/>
      <sz val="16"/>
      <name val="Calibri"/>
      <family val="2"/>
      <scheme val="minor"/>
    </font>
  </fonts>
  <fills count="15">
    <fill>
      <patternFill patternType="none"/>
    </fill>
    <fill>
      <patternFill patternType="gray125"/>
    </fill>
    <fill>
      <patternFill patternType="solid">
        <fgColor rgb="FFC6EFCE"/>
      </patternFill>
    </fill>
    <fill>
      <patternFill patternType="solid">
        <fgColor theme="7" tint="0.79998168889431442"/>
        <bgColor indexed="64"/>
      </patternFill>
    </fill>
    <fill>
      <patternFill patternType="solid">
        <fgColor theme="4" tint="-0.499984740745262"/>
        <bgColor indexed="64"/>
      </patternFill>
    </fill>
    <fill>
      <patternFill patternType="solid">
        <fgColor rgb="FF002060"/>
        <bgColor indexed="64"/>
      </patternFill>
    </fill>
    <fill>
      <patternFill patternType="solid">
        <fgColor rgb="FFFFC000"/>
        <bgColor indexed="64"/>
      </patternFill>
    </fill>
    <fill>
      <patternFill patternType="solid">
        <fgColor theme="8" tint="0.79998168889431442"/>
        <bgColor indexed="64"/>
      </patternFill>
    </fill>
    <fill>
      <patternFill patternType="solid">
        <fgColor rgb="FF192B4F"/>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
      <patternFill patternType="solid">
        <fgColor rgb="FF0070C0"/>
        <bgColor indexed="64"/>
      </patternFill>
    </fill>
    <fill>
      <patternFill patternType="solid">
        <fgColor rgb="FF92D050"/>
        <bgColor indexed="64"/>
      </patternFill>
    </fill>
    <fill>
      <patternFill patternType="solid">
        <fgColor rgb="FFFF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theme="1"/>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bottom style="thin">
        <color theme="1"/>
      </bottom>
      <diagonal/>
    </border>
    <border>
      <left style="thin">
        <color theme="1"/>
      </left>
      <right/>
      <top style="thin">
        <color theme="1"/>
      </top>
      <bottom/>
      <diagonal/>
    </border>
    <border>
      <left/>
      <right style="thin">
        <color theme="1"/>
      </right>
      <top/>
      <bottom style="thin">
        <color theme="1"/>
      </bottom>
      <diagonal/>
    </border>
    <border>
      <left/>
      <right style="thin">
        <color theme="1"/>
      </right>
      <top style="thin">
        <color theme="1"/>
      </top>
      <bottom/>
      <diagonal/>
    </border>
    <border>
      <left/>
      <right/>
      <top style="thin">
        <color theme="1"/>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right/>
      <top/>
      <bottom style="thin">
        <color theme="0" tint="-0.499984740745262"/>
      </bottom>
      <diagonal/>
    </border>
    <border>
      <left style="thin">
        <color indexed="64"/>
      </left>
      <right style="thin">
        <color indexed="64"/>
      </right>
      <top style="thin">
        <color indexed="64"/>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thin">
        <color theme="0" tint="-0.499984740745262"/>
      </bottom>
      <diagonal/>
    </border>
    <border>
      <left/>
      <right/>
      <top style="thin">
        <color theme="1"/>
      </top>
      <bottom style="thin">
        <color theme="0" tint="-0.499984740745262"/>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top/>
      <bottom/>
      <diagonal/>
    </border>
    <border>
      <left style="thin">
        <color theme="1"/>
      </left>
      <right style="thin">
        <color theme="1"/>
      </right>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style="thin">
        <color theme="1"/>
      </left>
      <right style="thin">
        <color indexed="64"/>
      </right>
      <top style="thin">
        <color indexed="64"/>
      </top>
      <bottom style="thin">
        <color theme="1"/>
      </bottom>
      <diagonal/>
    </border>
    <border>
      <left style="thin">
        <color theme="1"/>
      </left>
      <right style="thin">
        <color indexed="64"/>
      </right>
      <top/>
      <bottom style="thin">
        <color theme="1"/>
      </bottom>
      <diagonal/>
    </border>
    <border>
      <left/>
      <right style="thin">
        <color theme="1"/>
      </right>
      <top style="thin">
        <color theme="1"/>
      </top>
      <bottom style="thin">
        <color theme="1"/>
      </bottom>
      <diagonal/>
    </border>
    <border>
      <left/>
      <right style="thin">
        <color theme="1"/>
      </right>
      <top/>
      <bottom/>
      <diagonal/>
    </border>
    <border>
      <left/>
      <right style="thin">
        <color theme="1"/>
      </right>
      <top style="thin">
        <color theme="1"/>
      </top>
      <bottom style="thin">
        <color indexed="64"/>
      </bottom>
      <diagonal/>
    </border>
    <border>
      <left/>
      <right style="thin">
        <color theme="1"/>
      </right>
      <top style="thin">
        <color theme="1"/>
      </top>
      <bottom style="thin">
        <color theme="0" tint="-0.499984740745262"/>
      </bottom>
      <diagonal/>
    </border>
    <border>
      <left style="thin">
        <color indexed="64"/>
      </left>
      <right style="thin">
        <color indexed="64"/>
      </right>
      <top/>
      <bottom/>
      <diagonal/>
    </border>
    <border>
      <left/>
      <right style="thin">
        <color theme="1"/>
      </right>
      <top style="thin">
        <color indexed="64"/>
      </top>
      <bottom style="thin">
        <color theme="1"/>
      </bottom>
      <diagonal/>
    </border>
  </borders>
  <cellStyleXfs count="5">
    <xf numFmtId="0" fontId="0" fillId="0" borderId="0"/>
    <xf numFmtId="0" fontId="1" fillId="2" borderId="0" applyNumberFormat="0" applyBorder="0" applyAlignment="0" applyProtection="0"/>
    <xf numFmtId="0" fontId="12" fillId="0" borderId="0"/>
    <xf numFmtId="166" fontId="12" fillId="0" borderId="0" applyFont="0" applyFill="0" applyBorder="0" applyAlignment="0" applyProtection="0"/>
    <xf numFmtId="9" fontId="12" fillId="0" borderId="0" applyFont="0" applyFill="0" applyBorder="0" applyAlignment="0" applyProtection="0"/>
  </cellStyleXfs>
  <cellXfs count="308">
    <xf numFmtId="0" fontId="0" fillId="0" borderId="0" xfId="0"/>
    <xf numFmtId="1" fontId="5" fillId="6" borderId="1" xfId="2" applyNumberFormat="1" applyFont="1" applyFill="1" applyBorder="1" applyAlignment="1" applyProtection="1">
      <alignment horizontal="center"/>
      <protection locked="0"/>
    </xf>
    <xf numFmtId="0" fontId="5" fillId="6" borderId="1" xfId="2" applyFont="1" applyFill="1" applyBorder="1" applyAlignment="1" applyProtection="1">
      <alignment horizontal="center"/>
      <protection locked="0"/>
    </xf>
    <xf numFmtId="167" fontId="5" fillId="6" borderId="1" xfId="2" applyNumberFormat="1" applyFont="1" applyFill="1" applyBorder="1" applyAlignment="1" applyProtection="1">
      <alignment horizontal="center"/>
      <protection locked="0"/>
    </xf>
    <xf numFmtId="0" fontId="19" fillId="6" borderId="1" xfId="2" applyFont="1" applyFill="1" applyBorder="1" applyAlignment="1" applyProtection="1">
      <alignment horizontal="center"/>
      <protection locked="0"/>
    </xf>
    <xf numFmtId="1" fontId="19" fillId="6" borderId="1" xfId="2" applyNumberFormat="1" applyFont="1" applyFill="1" applyBorder="1" applyAlignment="1" applyProtection="1">
      <alignment horizontal="center"/>
      <protection locked="0"/>
    </xf>
    <xf numFmtId="167" fontId="19" fillId="6" borderId="1" xfId="2" applyNumberFormat="1" applyFont="1" applyFill="1" applyBorder="1" applyAlignment="1" applyProtection="1">
      <alignment horizontal="center"/>
      <protection locked="0"/>
    </xf>
    <xf numFmtId="0" fontId="4" fillId="6" borderId="9" xfId="0" applyFont="1" applyFill="1" applyBorder="1" applyAlignment="1" applyProtection="1">
      <alignment horizontal="center" vertical="center"/>
      <protection locked="0"/>
    </xf>
    <xf numFmtId="0" fontId="5" fillId="6" borderId="1" xfId="0" applyFont="1" applyFill="1" applyBorder="1" applyAlignment="1" applyProtection="1">
      <alignment horizontal="center" vertical="center"/>
      <protection locked="0"/>
    </xf>
    <xf numFmtId="0" fontId="5" fillId="6" borderId="1" xfId="0" applyFont="1" applyFill="1" applyBorder="1" applyAlignment="1" applyProtection="1">
      <alignment horizontal="center"/>
      <protection locked="0"/>
    </xf>
    <xf numFmtId="9" fontId="29" fillId="6" borderId="1" xfId="0" applyNumberFormat="1" applyFont="1" applyFill="1" applyBorder="1" applyAlignment="1" applyProtection="1">
      <alignment horizontal="center" vertical="center"/>
      <protection locked="0"/>
    </xf>
    <xf numFmtId="0" fontId="2" fillId="3" borderId="9" xfId="0" applyFont="1" applyFill="1" applyBorder="1" applyProtection="1">
      <protection hidden="1"/>
    </xf>
    <xf numFmtId="0" fontId="5" fillId="3" borderId="25" xfId="0" applyFont="1" applyFill="1" applyBorder="1" applyProtection="1">
      <protection hidden="1"/>
    </xf>
    <xf numFmtId="0" fontId="2" fillId="3" borderId="29" xfId="0" applyFont="1" applyFill="1" applyBorder="1" applyProtection="1">
      <protection hidden="1"/>
    </xf>
    <xf numFmtId="0" fontId="5" fillId="3" borderId="11" xfId="0" applyFont="1" applyFill="1" applyBorder="1" applyProtection="1">
      <protection hidden="1"/>
    </xf>
    <xf numFmtId="0" fontId="2" fillId="3" borderId="30" xfId="0" applyFont="1" applyFill="1" applyBorder="1" applyProtection="1">
      <protection hidden="1"/>
    </xf>
    <xf numFmtId="0" fontId="0" fillId="3" borderId="31" xfId="0" applyFill="1" applyBorder="1" applyProtection="1">
      <protection hidden="1"/>
    </xf>
    <xf numFmtId="0" fontId="2" fillId="3" borderId="32" xfId="0" applyFont="1" applyFill="1" applyBorder="1" applyProtection="1">
      <protection hidden="1"/>
    </xf>
    <xf numFmtId="0" fontId="0" fillId="3" borderId="10" xfId="0" applyFill="1" applyBorder="1" applyProtection="1">
      <protection hidden="1"/>
    </xf>
    <xf numFmtId="0" fontId="2" fillId="3" borderId="35" xfId="0" applyFont="1" applyFill="1" applyBorder="1" applyProtection="1">
      <protection hidden="1"/>
    </xf>
    <xf numFmtId="0" fontId="5" fillId="3" borderId="7" xfId="0" applyFont="1" applyFill="1" applyBorder="1" applyProtection="1">
      <protection hidden="1"/>
    </xf>
    <xf numFmtId="0" fontId="2" fillId="3" borderId="36" xfId="0" applyFont="1" applyFill="1" applyBorder="1" applyProtection="1">
      <protection hidden="1"/>
    </xf>
    <xf numFmtId="0" fontId="5" fillId="3" borderId="37" xfId="0" applyFont="1" applyFill="1" applyBorder="1" applyAlignment="1" applyProtection="1">
      <alignment horizontal="left" indent="1"/>
      <protection hidden="1"/>
    </xf>
    <xf numFmtId="0" fontId="5" fillId="3" borderId="13" xfId="0" applyFont="1" applyFill="1" applyBorder="1" applyAlignment="1" applyProtection="1">
      <alignment horizontal="left" indent="1"/>
      <protection hidden="1"/>
    </xf>
    <xf numFmtId="0" fontId="0" fillId="3" borderId="38" xfId="0" applyFill="1" applyBorder="1" applyAlignment="1" applyProtection="1">
      <alignment horizontal="left" indent="1"/>
      <protection hidden="1"/>
    </xf>
    <xf numFmtId="0" fontId="0" fillId="3" borderId="12" xfId="0" applyFill="1" applyBorder="1" applyAlignment="1" applyProtection="1">
      <alignment horizontal="left" indent="1"/>
      <protection hidden="1"/>
    </xf>
    <xf numFmtId="0" fontId="5" fillId="3" borderId="7" xfId="0" applyFont="1" applyFill="1" applyBorder="1" applyAlignment="1" applyProtection="1">
      <alignment horizontal="left" indent="1"/>
      <protection hidden="1"/>
    </xf>
    <xf numFmtId="0" fontId="5" fillId="3" borderId="26" xfId="0" applyFont="1" applyFill="1" applyBorder="1" applyAlignment="1" applyProtection="1">
      <alignment horizontal="left" indent="1"/>
      <protection hidden="1"/>
    </xf>
    <xf numFmtId="0" fontId="5" fillId="3" borderId="39" xfId="0" applyFont="1" applyFill="1" applyBorder="1" applyAlignment="1" applyProtection="1">
      <alignment horizontal="left" indent="1"/>
      <protection hidden="1"/>
    </xf>
    <xf numFmtId="0" fontId="2" fillId="3" borderId="29" xfId="0" applyFont="1" applyFill="1" applyBorder="1" applyAlignment="1" applyProtection="1">
      <alignment horizontal="right"/>
      <protection hidden="1"/>
    </xf>
    <xf numFmtId="0" fontId="5" fillId="3" borderId="14" xfId="0" applyFont="1" applyFill="1" applyBorder="1" applyAlignment="1" applyProtection="1">
      <alignment horizontal="left" indent="1"/>
      <protection hidden="1"/>
    </xf>
    <xf numFmtId="0" fontId="5" fillId="3" borderId="34" xfId="0" applyFont="1" applyFill="1" applyBorder="1" applyAlignment="1" applyProtection="1">
      <alignment horizontal="left" indent="1"/>
      <protection hidden="1"/>
    </xf>
    <xf numFmtId="0" fontId="5" fillId="3" borderId="42" xfId="0" applyFont="1" applyFill="1" applyBorder="1" applyAlignment="1" applyProtection="1">
      <alignment horizontal="left" indent="1"/>
      <protection hidden="1"/>
    </xf>
    <xf numFmtId="0" fontId="0" fillId="3" borderId="0" xfId="0" applyFill="1" applyAlignment="1" applyProtection="1">
      <alignment horizontal="left" indent="1"/>
      <protection hidden="1"/>
    </xf>
    <xf numFmtId="0" fontId="0" fillId="3" borderId="7" xfId="0" applyFill="1" applyBorder="1" applyAlignment="1" applyProtection="1">
      <alignment horizontal="left" indent="1"/>
      <protection hidden="1"/>
    </xf>
    <xf numFmtId="0" fontId="5" fillId="6" borderId="9" xfId="0" applyFont="1" applyFill="1" applyBorder="1" applyAlignment="1" applyProtection="1">
      <alignment horizontal="center" vertical="center"/>
      <protection locked="0"/>
    </xf>
    <xf numFmtId="0" fontId="5" fillId="6" borderId="35" xfId="0" applyFont="1" applyFill="1" applyBorder="1" applyAlignment="1" applyProtection="1">
      <alignment horizontal="center" vertical="center"/>
      <protection locked="0"/>
    </xf>
    <xf numFmtId="0" fontId="0" fillId="7" borderId="6" xfId="0" applyFill="1" applyBorder="1" applyProtection="1">
      <protection hidden="1"/>
    </xf>
    <xf numFmtId="0" fontId="0" fillId="7" borderId="0" xfId="0" applyFill="1" applyProtection="1">
      <protection hidden="1"/>
    </xf>
    <xf numFmtId="0" fontId="2" fillId="7" borderId="0" xfId="0" applyFont="1" applyFill="1" applyProtection="1">
      <protection hidden="1"/>
    </xf>
    <xf numFmtId="0" fontId="12" fillId="7" borderId="0" xfId="2" applyFill="1" applyProtection="1">
      <protection hidden="1"/>
    </xf>
    <xf numFmtId="0" fontId="12" fillId="7" borderId="0" xfId="2" applyFill="1" applyAlignment="1" applyProtection="1">
      <alignment horizontal="center"/>
      <protection hidden="1"/>
    </xf>
    <xf numFmtId="0" fontId="0" fillId="7" borderId="20" xfId="0" applyFill="1" applyBorder="1" applyProtection="1">
      <protection hidden="1"/>
    </xf>
    <xf numFmtId="0" fontId="0" fillId="0" borderId="0" xfId="0" applyProtection="1">
      <protection hidden="1"/>
    </xf>
    <xf numFmtId="0" fontId="0" fillId="0" borderId="0" xfId="0" applyAlignment="1" applyProtection="1">
      <alignment horizontal="center" vertical="center"/>
      <protection hidden="1"/>
    </xf>
    <xf numFmtId="165" fontId="28" fillId="10" borderId="2" xfId="0" applyNumberFormat="1" applyFont="1" applyFill="1" applyBorder="1" applyAlignment="1" applyProtection="1">
      <alignment horizontal="center" vertical="center"/>
      <protection hidden="1"/>
    </xf>
    <xf numFmtId="165" fontId="32" fillId="7" borderId="0" xfId="0" applyNumberFormat="1" applyFont="1" applyFill="1" applyAlignment="1" applyProtection="1">
      <alignment vertical="center"/>
      <protection hidden="1"/>
    </xf>
    <xf numFmtId="165" fontId="31" fillId="7" borderId="20" xfId="2" applyNumberFormat="1" applyFont="1" applyFill="1" applyBorder="1" applyAlignment="1" applyProtection="1">
      <alignment horizontal="left" vertical="center"/>
      <protection hidden="1"/>
    </xf>
    <xf numFmtId="0" fontId="5" fillId="7" borderId="0" xfId="0" applyFont="1" applyFill="1" applyAlignment="1" applyProtection="1">
      <alignment horizontal="center"/>
      <protection hidden="1"/>
    </xf>
    <xf numFmtId="165" fontId="0" fillId="7" borderId="0" xfId="0" applyNumberFormat="1" applyFill="1" applyProtection="1">
      <protection hidden="1"/>
    </xf>
    <xf numFmtId="0" fontId="0" fillId="7" borderId="17" xfId="0" applyFill="1" applyBorder="1" applyProtection="1">
      <protection hidden="1"/>
    </xf>
    <xf numFmtId="0" fontId="0" fillId="7" borderId="18" xfId="0" applyFill="1" applyBorder="1" applyProtection="1">
      <protection hidden="1"/>
    </xf>
    <xf numFmtId="0" fontId="5" fillId="7" borderId="18" xfId="0" applyFont="1" applyFill="1" applyBorder="1" applyAlignment="1" applyProtection="1">
      <alignment horizontal="center"/>
      <protection hidden="1"/>
    </xf>
    <xf numFmtId="165" fontId="0" fillId="7" borderId="18" xfId="0" applyNumberFormat="1" applyFill="1" applyBorder="1" applyProtection="1">
      <protection hidden="1"/>
    </xf>
    <xf numFmtId="0" fontId="0" fillId="7" borderId="19" xfId="0" applyFill="1" applyBorder="1" applyProtection="1">
      <protection hidden="1"/>
    </xf>
    <xf numFmtId="0" fontId="5" fillId="0" borderId="0" xfId="0" applyFont="1" applyAlignment="1" applyProtection="1">
      <alignment horizontal="center"/>
      <protection hidden="1"/>
    </xf>
    <xf numFmtId="165" fontId="0" fillId="0" borderId="0" xfId="0" applyNumberFormat="1" applyProtection="1">
      <protection hidden="1"/>
    </xf>
    <xf numFmtId="9" fontId="0" fillId="7" borderId="0" xfId="0" applyNumberFormat="1" applyFill="1" applyProtection="1">
      <protection hidden="1"/>
    </xf>
    <xf numFmtId="165" fontId="10" fillId="5" borderId="2" xfId="0" applyNumberFormat="1" applyFont="1" applyFill="1" applyBorder="1" applyAlignment="1" applyProtection="1">
      <alignment horizontal="center" vertical="center"/>
      <protection hidden="1"/>
    </xf>
    <xf numFmtId="165" fontId="12" fillId="7" borderId="0" xfId="2" applyNumberFormat="1" applyFill="1" applyProtection="1">
      <protection hidden="1"/>
    </xf>
    <xf numFmtId="165" fontId="10" fillId="7" borderId="0" xfId="0" applyNumberFormat="1" applyFont="1" applyFill="1" applyAlignment="1" applyProtection="1">
      <alignment horizontal="center" vertical="center"/>
      <protection hidden="1"/>
    </xf>
    <xf numFmtId="165" fontId="11" fillId="9" borderId="2" xfId="0" applyNumberFormat="1" applyFont="1" applyFill="1" applyBorder="1" applyAlignment="1" applyProtection="1">
      <alignment horizontal="center" vertical="center"/>
      <protection hidden="1"/>
    </xf>
    <xf numFmtId="164" fontId="0" fillId="0" borderId="1" xfId="0" applyNumberFormat="1" applyBorder="1" applyAlignment="1" applyProtection="1">
      <alignment horizontal="right" vertical="center"/>
      <protection hidden="1"/>
    </xf>
    <xf numFmtId="0" fontId="2" fillId="3" borderId="1" xfId="0" applyFont="1" applyFill="1" applyBorder="1" applyProtection="1">
      <protection hidden="1"/>
    </xf>
    <xf numFmtId="0" fontId="5" fillId="3" borderId="15" xfId="0" applyFont="1" applyFill="1" applyBorder="1" applyProtection="1">
      <protection hidden="1"/>
    </xf>
    <xf numFmtId="0" fontId="5" fillId="3" borderId="2" xfId="0" applyFont="1" applyFill="1" applyBorder="1" applyAlignment="1" applyProtection="1">
      <alignment horizontal="right" indent="1"/>
      <protection hidden="1"/>
    </xf>
    <xf numFmtId="164" fontId="0" fillId="0" borderId="9" xfId="0" applyNumberFormat="1" applyBorder="1" applyProtection="1">
      <protection hidden="1"/>
    </xf>
    <xf numFmtId="0" fontId="5" fillId="6" borderId="9" xfId="0" applyFont="1" applyFill="1" applyBorder="1" applyAlignment="1" applyProtection="1">
      <alignment horizontal="center" vertical="center"/>
      <protection hidden="1"/>
    </xf>
    <xf numFmtId="0" fontId="5" fillId="3" borderId="15" xfId="0" applyFont="1" applyFill="1" applyBorder="1" applyAlignment="1" applyProtection="1">
      <alignment vertical="center"/>
      <protection hidden="1"/>
    </xf>
    <xf numFmtId="0" fontId="5" fillId="3" borderId="15" xfId="0" applyFont="1" applyFill="1" applyBorder="1" applyAlignment="1" applyProtection="1">
      <alignment horizontal="right" vertical="center" indent="1"/>
      <protection hidden="1"/>
    </xf>
    <xf numFmtId="0" fontId="5" fillId="3" borderId="2" xfId="0" applyFont="1" applyFill="1" applyBorder="1" applyAlignment="1" applyProtection="1">
      <alignment horizontal="right" vertical="center" indent="1"/>
      <protection hidden="1"/>
    </xf>
    <xf numFmtId="164" fontId="0" fillId="0" borderId="1" xfId="0" applyNumberFormat="1" applyBorder="1" applyAlignment="1" applyProtection="1">
      <alignment vertical="center"/>
      <protection hidden="1"/>
    </xf>
    <xf numFmtId="0" fontId="8" fillId="11" borderId="27" xfId="0" applyFont="1" applyFill="1" applyBorder="1" applyAlignment="1" applyProtection="1">
      <alignment horizontal="left" indent="1"/>
      <protection hidden="1"/>
    </xf>
    <xf numFmtId="0" fontId="8" fillId="11" borderId="26" xfId="0" applyFont="1" applyFill="1" applyBorder="1" applyAlignment="1" applyProtection="1">
      <alignment horizontal="left" indent="1"/>
      <protection hidden="1"/>
    </xf>
    <xf numFmtId="0" fontId="8" fillId="11" borderId="28" xfId="0" applyFont="1" applyFill="1" applyBorder="1" applyAlignment="1" applyProtection="1">
      <alignment horizontal="left" indent="2"/>
      <protection hidden="1"/>
    </xf>
    <xf numFmtId="164" fontId="8" fillId="11" borderId="28" xfId="0" applyNumberFormat="1" applyFont="1" applyFill="1" applyBorder="1" applyAlignment="1" applyProtection="1">
      <alignment horizontal="left" indent="1"/>
      <protection hidden="1"/>
    </xf>
    <xf numFmtId="0" fontId="8" fillId="11" borderId="28" xfId="0" applyFont="1" applyFill="1" applyBorder="1" applyAlignment="1" applyProtection="1">
      <alignment horizontal="left" indent="1"/>
      <protection hidden="1"/>
    </xf>
    <xf numFmtId="164" fontId="8" fillId="11" borderId="40" xfId="0" applyNumberFormat="1" applyFont="1" applyFill="1" applyBorder="1" applyAlignment="1" applyProtection="1">
      <alignment horizontal="left" indent="1"/>
      <protection hidden="1"/>
    </xf>
    <xf numFmtId="164" fontId="0" fillId="0" borderId="9" xfId="0" applyNumberFormat="1" applyBorder="1" applyAlignment="1" applyProtection="1">
      <alignment horizontal="center"/>
      <protection hidden="1"/>
    </xf>
    <xf numFmtId="0" fontId="0" fillId="0" borderId="6" xfId="0" applyBorder="1" applyProtection="1">
      <protection hidden="1"/>
    </xf>
    <xf numFmtId="0" fontId="8" fillId="11" borderId="25" xfId="0" applyFont="1" applyFill="1" applyBorder="1" applyAlignment="1" applyProtection="1">
      <alignment horizontal="left" indent="1"/>
      <protection hidden="1"/>
    </xf>
    <xf numFmtId="0" fontId="8" fillId="11" borderId="26" xfId="0" applyFont="1" applyFill="1" applyBorder="1" applyAlignment="1" applyProtection="1">
      <alignment horizontal="left" indent="2"/>
      <protection hidden="1"/>
    </xf>
    <xf numFmtId="164" fontId="8" fillId="11" borderId="26" xfId="0" applyNumberFormat="1" applyFont="1" applyFill="1" applyBorder="1" applyAlignment="1" applyProtection="1">
      <alignment horizontal="left" indent="1"/>
      <protection hidden="1"/>
    </xf>
    <xf numFmtId="164" fontId="8" fillId="11" borderId="37" xfId="0" applyNumberFormat="1" applyFont="1" applyFill="1" applyBorder="1" applyAlignment="1" applyProtection="1">
      <alignment horizontal="left" indent="1"/>
      <protection hidden="1"/>
    </xf>
    <xf numFmtId="0" fontId="5" fillId="9" borderId="36" xfId="0" applyFont="1" applyFill="1" applyBorder="1" applyAlignment="1" applyProtection="1">
      <alignment horizontal="center" vertical="center"/>
      <protection hidden="1"/>
    </xf>
    <xf numFmtId="164" fontId="0" fillId="0" borderId="12" xfId="0" applyNumberFormat="1" applyBorder="1" applyAlignment="1" applyProtection="1">
      <alignment horizontal="center"/>
      <protection hidden="1"/>
    </xf>
    <xf numFmtId="0" fontId="0" fillId="10" borderId="41" xfId="0" applyFill="1" applyBorder="1" applyProtection="1">
      <protection hidden="1"/>
    </xf>
    <xf numFmtId="0" fontId="0" fillId="10" borderId="41" xfId="0" applyFill="1" applyBorder="1" applyAlignment="1" applyProtection="1">
      <alignment horizontal="center"/>
      <protection hidden="1"/>
    </xf>
    <xf numFmtId="0" fontId="0" fillId="10" borderId="6" xfId="0" applyFill="1" applyBorder="1" applyProtection="1">
      <protection hidden="1"/>
    </xf>
    <xf numFmtId="0" fontId="0" fillId="10" borderId="0" xfId="0" applyFill="1" applyProtection="1">
      <protection hidden="1"/>
    </xf>
    <xf numFmtId="0" fontId="0" fillId="10" borderId="20" xfId="0" applyFill="1" applyBorder="1" applyProtection="1">
      <protection hidden="1"/>
    </xf>
    <xf numFmtId="0" fontId="0" fillId="10" borderId="5" xfId="0" applyFill="1" applyBorder="1" applyProtection="1">
      <protection hidden="1"/>
    </xf>
    <xf numFmtId="0" fontId="0" fillId="10" borderId="5" xfId="0" applyFill="1" applyBorder="1" applyAlignment="1" applyProtection="1">
      <alignment horizontal="center"/>
      <protection hidden="1"/>
    </xf>
    <xf numFmtId="0" fontId="0" fillId="10" borderId="17" xfId="0" applyFill="1" applyBorder="1" applyProtection="1">
      <protection hidden="1"/>
    </xf>
    <xf numFmtId="0" fontId="0" fillId="10" borderId="18" xfId="0" applyFill="1" applyBorder="1" applyProtection="1">
      <protection hidden="1"/>
    </xf>
    <xf numFmtId="0" fontId="0" fillId="10" borderId="19" xfId="0" applyFill="1" applyBorder="1" applyProtection="1">
      <protection hidden="1"/>
    </xf>
    <xf numFmtId="0" fontId="5" fillId="0" borderId="1" xfId="0" applyFont="1" applyBorder="1" applyAlignment="1" applyProtection="1">
      <alignment horizontal="center" vertical="center" wrapText="1"/>
      <protection hidden="1"/>
    </xf>
    <xf numFmtId="0" fontId="0" fillId="0" borderId="0" xfId="0" applyAlignment="1" applyProtection="1">
      <alignment wrapText="1"/>
      <protection hidden="1"/>
    </xf>
    <xf numFmtId="0" fontId="0" fillId="10" borderId="1" xfId="0" applyFill="1" applyBorder="1" applyAlignment="1" applyProtection="1">
      <alignment horizontal="center"/>
      <protection hidden="1"/>
    </xf>
    <xf numFmtId="0" fontId="0" fillId="0" borderId="0" xfId="0" applyAlignment="1" applyProtection="1">
      <alignment horizontal="center"/>
      <protection hidden="1"/>
    </xf>
    <xf numFmtId="0" fontId="0" fillId="0" borderId="0" xfId="0" applyAlignment="1" applyProtection="1">
      <alignment horizontal="center" vertical="center" wrapText="1"/>
      <protection hidden="1"/>
    </xf>
    <xf numFmtId="0" fontId="8" fillId="11" borderId="33" xfId="0" applyFont="1" applyFill="1" applyBorder="1" applyAlignment="1" applyProtection="1">
      <alignment horizontal="left" indent="1"/>
      <protection hidden="1"/>
    </xf>
    <xf numFmtId="0" fontId="8" fillId="11" borderId="34" xfId="0" applyFont="1" applyFill="1" applyBorder="1" applyAlignment="1" applyProtection="1">
      <alignment horizontal="left" indent="1"/>
      <protection hidden="1"/>
    </xf>
    <xf numFmtId="0" fontId="8" fillId="11" borderId="34" xfId="0" applyFont="1" applyFill="1" applyBorder="1" applyAlignment="1" applyProtection="1">
      <alignment horizontal="left" indent="2"/>
      <protection hidden="1"/>
    </xf>
    <xf numFmtId="164" fontId="8" fillId="11" borderId="34" xfId="0" applyNumberFormat="1" applyFont="1" applyFill="1" applyBorder="1" applyAlignment="1" applyProtection="1">
      <alignment horizontal="left" indent="1"/>
      <protection hidden="1"/>
    </xf>
    <xf numFmtId="164" fontId="8" fillId="11" borderId="39" xfId="0" applyNumberFormat="1" applyFont="1" applyFill="1" applyBorder="1" applyAlignment="1" applyProtection="1">
      <alignment horizontal="left" indent="1"/>
      <protection hidden="1"/>
    </xf>
    <xf numFmtId="0" fontId="5" fillId="0" borderId="17" xfId="0" applyFont="1" applyBorder="1" applyProtection="1">
      <protection hidden="1"/>
    </xf>
    <xf numFmtId="0" fontId="5" fillId="6" borderId="1" xfId="0" applyFont="1" applyFill="1" applyBorder="1" applyAlignment="1" applyProtection="1">
      <alignment horizontal="center"/>
      <protection hidden="1"/>
    </xf>
    <xf numFmtId="0" fontId="0" fillId="13" borderId="19" xfId="0" applyFill="1" applyBorder="1" applyProtection="1">
      <protection hidden="1"/>
    </xf>
    <xf numFmtId="0" fontId="5" fillId="0" borderId="1" xfId="0" applyFont="1" applyBorder="1" applyAlignment="1" applyProtection="1">
      <alignment horizontal="center" vertical="center"/>
      <protection hidden="1"/>
    </xf>
    <xf numFmtId="0" fontId="0" fillId="14" borderId="41" xfId="0" applyFill="1" applyBorder="1" applyAlignment="1" applyProtection="1">
      <alignment horizontal="center"/>
      <protection hidden="1"/>
    </xf>
    <xf numFmtId="0" fontId="8" fillId="11" borderId="40" xfId="0" applyFont="1" applyFill="1" applyBorder="1" applyAlignment="1" applyProtection="1">
      <alignment horizontal="left" indent="1"/>
      <protection hidden="1"/>
    </xf>
    <xf numFmtId="0" fontId="8" fillId="12" borderId="1" xfId="0" applyFont="1" applyFill="1" applyBorder="1" applyProtection="1">
      <protection hidden="1"/>
    </xf>
    <xf numFmtId="0" fontId="8" fillId="12" borderId="2" xfId="0" applyFont="1" applyFill="1" applyBorder="1" applyProtection="1">
      <protection hidden="1"/>
    </xf>
    <xf numFmtId="0" fontId="0" fillId="13" borderId="22" xfId="0" applyFill="1" applyBorder="1" applyAlignment="1" applyProtection="1">
      <alignment horizontal="center"/>
      <protection hidden="1"/>
    </xf>
    <xf numFmtId="0" fontId="0" fillId="10" borderId="3" xfId="0" applyFill="1" applyBorder="1" applyProtection="1">
      <protection hidden="1"/>
    </xf>
    <xf numFmtId="0" fontId="0" fillId="10" borderId="4" xfId="0" applyFill="1" applyBorder="1" applyProtection="1">
      <protection hidden="1"/>
    </xf>
    <xf numFmtId="0" fontId="0" fillId="10" borderId="16" xfId="0" applyFill="1" applyBorder="1" applyProtection="1">
      <protection hidden="1"/>
    </xf>
    <xf numFmtId="0" fontId="5" fillId="4" borderId="13" xfId="0" applyFont="1" applyFill="1" applyBorder="1" applyProtection="1">
      <protection hidden="1"/>
    </xf>
    <xf numFmtId="0" fontId="5" fillId="4" borderId="12" xfId="0" applyFont="1" applyFill="1" applyBorder="1" applyProtection="1">
      <protection hidden="1"/>
    </xf>
    <xf numFmtId="0" fontId="0" fillId="7" borderId="3" xfId="0" applyFill="1" applyBorder="1" applyProtection="1">
      <protection hidden="1"/>
    </xf>
    <xf numFmtId="0" fontId="0" fillId="7" borderId="4" xfId="0" applyFill="1" applyBorder="1" applyProtection="1">
      <protection hidden="1"/>
    </xf>
    <xf numFmtId="0" fontId="5" fillId="7" borderId="4" xfId="0" applyFont="1" applyFill="1" applyBorder="1" applyAlignment="1" applyProtection="1">
      <alignment horizontal="center"/>
      <protection hidden="1"/>
    </xf>
    <xf numFmtId="165" fontId="0" fillId="7" borderId="4" xfId="0" applyNumberFormat="1" applyFill="1" applyBorder="1" applyProtection="1">
      <protection hidden="1"/>
    </xf>
    <xf numFmtId="0" fontId="0" fillId="7" borderId="16" xfId="0" applyFill="1" applyBorder="1" applyProtection="1">
      <protection hidden="1"/>
    </xf>
    <xf numFmtId="0" fontId="5" fillId="3" borderId="9" xfId="0" applyFont="1" applyFill="1" applyBorder="1" applyAlignment="1" applyProtection="1">
      <alignment horizontal="center"/>
      <protection hidden="1"/>
    </xf>
    <xf numFmtId="0" fontId="12" fillId="7" borderId="6" xfId="2" applyFill="1" applyBorder="1"/>
    <xf numFmtId="0" fontId="12" fillId="7" borderId="0" xfId="2" applyFill="1"/>
    <xf numFmtId="0" fontId="13" fillId="7" borderId="0" xfId="2" applyFont="1" applyFill="1" applyAlignment="1">
      <alignment horizontal="left" indent="1"/>
    </xf>
    <xf numFmtId="0" fontId="12" fillId="7" borderId="0" xfId="2" applyFill="1" applyAlignment="1">
      <alignment horizontal="left" indent="1"/>
    </xf>
    <xf numFmtId="0" fontId="5" fillId="7" borderId="0" xfId="0" applyFont="1" applyFill="1" applyAlignment="1">
      <alignment horizontal="left" indent="1"/>
    </xf>
    <xf numFmtId="0" fontId="12" fillId="7" borderId="0" xfId="2" applyFill="1" applyAlignment="1">
      <alignment horizontal="center"/>
    </xf>
    <xf numFmtId="164" fontId="12" fillId="7" borderId="0" xfId="2" applyNumberFormat="1" applyFill="1"/>
    <xf numFmtId="0" fontId="12" fillId="7" borderId="20" xfId="2" applyFill="1" applyBorder="1"/>
    <xf numFmtId="0" fontId="12" fillId="0" borderId="0" xfId="2"/>
    <xf numFmtId="0" fontId="0" fillId="7" borderId="0" xfId="0" applyFill="1"/>
    <xf numFmtId="165" fontId="28" fillId="10" borderId="2" xfId="0" applyNumberFormat="1" applyFont="1" applyFill="1" applyBorder="1" applyAlignment="1">
      <alignment horizontal="center" vertical="center"/>
    </xf>
    <xf numFmtId="164" fontId="32" fillId="7" borderId="0" xfId="0" applyNumberFormat="1" applyFont="1" applyFill="1" applyAlignment="1">
      <alignment vertical="center"/>
    </xf>
    <xf numFmtId="165" fontId="31" fillId="7" borderId="20" xfId="2" applyNumberFormat="1" applyFont="1" applyFill="1" applyBorder="1" applyAlignment="1">
      <alignment horizontal="left" vertical="center"/>
    </xf>
    <xf numFmtId="0" fontId="4" fillId="7" borderId="0" xfId="0" applyFont="1" applyFill="1" applyAlignment="1">
      <alignment vertical="center"/>
    </xf>
    <xf numFmtId="0" fontId="12" fillId="7" borderId="17" xfId="2" applyFill="1" applyBorder="1"/>
    <xf numFmtId="0" fontId="12" fillId="7" borderId="18" xfId="2" applyFill="1" applyBorder="1"/>
    <xf numFmtId="0" fontId="13" fillId="7" borderId="18" xfId="2" applyFont="1" applyFill="1" applyBorder="1"/>
    <xf numFmtId="0" fontId="12" fillId="7" borderId="18" xfId="2" applyFill="1" applyBorder="1" applyAlignment="1">
      <alignment horizontal="center"/>
    </xf>
    <xf numFmtId="0" fontId="13" fillId="7" borderId="18" xfId="2" applyFont="1" applyFill="1" applyBorder="1" applyAlignment="1">
      <alignment horizontal="center"/>
    </xf>
    <xf numFmtId="164" fontId="12" fillId="7" borderId="18" xfId="3" applyNumberFormat="1" applyFont="1" applyFill="1" applyBorder="1" applyProtection="1"/>
    <xf numFmtId="0" fontId="12" fillId="7" borderId="19" xfId="2" applyFill="1" applyBorder="1"/>
    <xf numFmtId="0" fontId="13" fillId="0" borderId="0" xfId="2" applyFont="1"/>
    <xf numFmtId="0" fontId="12" fillId="0" borderId="0" xfId="2" applyAlignment="1">
      <alignment horizontal="center"/>
    </xf>
    <xf numFmtId="0" fontId="13" fillId="0" borderId="0" xfId="2" applyFont="1" applyAlignment="1">
      <alignment horizontal="center"/>
    </xf>
    <xf numFmtId="164" fontId="12" fillId="0" borderId="0" xfId="3" applyNumberFormat="1" applyFont="1" applyBorder="1" applyProtection="1"/>
    <xf numFmtId="0" fontId="4" fillId="0" borderId="0" xfId="2" applyFont="1"/>
    <xf numFmtId="164" fontId="12" fillId="0" borderId="0" xfId="2" applyNumberFormat="1"/>
    <xf numFmtId="0" fontId="27" fillId="7" borderId="0" xfId="0" applyFont="1" applyFill="1" applyAlignment="1">
      <alignment horizontal="left" vertical="center" indent="1"/>
    </xf>
    <xf numFmtId="9" fontId="29" fillId="7" borderId="0" xfId="0" applyNumberFormat="1" applyFont="1" applyFill="1" applyAlignment="1">
      <alignment horizontal="center" vertical="center"/>
    </xf>
    <xf numFmtId="0" fontId="16" fillId="7" borderId="0" xfId="2" applyFont="1" applyFill="1"/>
    <xf numFmtId="0" fontId="15" fillId="7" borderId="0" xfId="2" applyFont="1" applyFill="1"/>
    <xf numFmtId="0" fontId="16" fillId="7" borderId="0" xfId="2" applyFont="1" applyFill="1" applyAlignment="1">
      <alignment horizontal="center"/>
    </xf>
    <xf numFmtId="0" fontId="15" fillId="7" borderId="0" xfId="2" applyFont="1" applyFill="1" applyAlignment="1">
      <alignment horizontal="center"/>
    </xf>
    <xf numFmtId="164" fontId="16" fillId="7" borderId="0" xfId="3" applyNumberFormat="1" applyFont="1" applyFill="1" applyBorder="1" applyProtection="1"/>
    <xf numFmtId="165" fontId="10" fillId="5" borderId="2" xfId="0" applyNumberFormat="1" applyFont="1" applyFill="1" applyBorder="1" applyAlignment="1">
      <alignment horizontal="center" vertical="center"/>
    </xf>
    <xf numFmtId="0" fontId="9" fillId="7" borderId="0" xfId="0" applyFont="1" applyFill="1" applyAlignment="1">
      <alignment horizontal="center" vertical="center"/>
    </xf>
    <xf numFmtId="0" fontId="9" fillId="7" borderId="0" xfId="0" applyFont="1" applyFill="1" applyAlignment="1">
      <alignment horizontal="left" vertical="center" indent="1"/>
    </xf>
    <xf numFmtId="165" fontId="10" fillId="7" borderId="0" xfId="0" applyNumberFormat="1" applyFont="1" applyFill="1" applyAlignment="1">
      <alignment horizontal="left" vertical="center" indent="1"/>
    </xf>
    <xf numFmtId="165" fontId="10" fillId="7" borderId="0" xfId="0" applyNumberFormat="1" applyFont="1" applyFill="1" applyAlignment="1">
      <alignment horizontal="center" vertical="center"/>
    </xf>
    <xf numFmtId="0" fontId="27" fillId="9" borderId="15" xfId="0" applyFont="1" applyFill="1" applyBorder="1" applyAlignment="1">
      <alignment horizontal="left" vertical="center" indent="1"/>
    </xf>
    <xf numFmtId="165" fontId="11" fillId="9" borderId="2" xfId="0" applyNumberFormat="1" applyFont="1" applyFill="1" applyBorder="1" applyAlignment="1">
      <alignment horizontal="center" vertical="center"/>
    </xf>
    <xf numFmtId="164" fontId="0" fillId="0" borderId="1" xfId="3" applyNumberFormat="1" applyFont="1" applyBorder="1" applyAlignment="1" applyProtection="1">
      <alignment horizontal="right"/>
    </xf>
    <xf numFmtId="0" fontId="5" fillId="3" borderId="8" xfId="2" applyFont="1" applyFill="1" applyBorder="1" applyAlignment="1">
      <alignment horizontal="justify"/>
    </xf>
    <xf numFmtId="0" fontId="5" fillId="3" borderId="15" xfId="2" applyFont="1" applyFill="1" applyBorder="1"/>
    <xf numFmtId="0" fontId="5" fillId="3" borderId="2" xfId="2" applyFont="1" applyFill="1" applyBorder="1" applyAlignment="1">
      <alignment horizontal="right"/>
    </xf>
    <xf numFmtId="164" fontId="30" fillId="9" borderId="1" xfId="2" applyNumberFormat="1" applyFont="1" applyFill="1" applyBorder="1" applyAlignment="1">
      <alignment horizontal="center"/>
    </xf>
    <xf numFmtId="0" fontId="8" fillId="11" borderId="8" xfId="0" applyFont="1" applyFill="1" applyBorder="1" applyAlignment="1">
      <alignment horizontal="left" vertical="center" indent="1"/>
    </xf>
    <xf numFmtId="0" fontId="8" fillId="11" borderId="15" xfId="0" applyFont="1" applyFill="1" applyBorder="1" applyAlignment="1">
      <alignment horizontal="left" vertical="center" indent="1"/>
    </xf>
    <xf numFmtId="0" fontId="6" fillId="11" borderId="15" xfId="0" applyFont="1" applyFill="1" applyBorder="1" applyAlignment="1">
      <alignment horizontal="left" vertical="center" indent="1"/>
    </xf>
    <xf numFmtId="164" fontId="6" fillId="11" borderId="15" xfId="0" applyNumberFormat="1" applyFont="1" applyFill="1" applyBorder="1" applyAlignment="1">
      <alignment horizontal="left" vertical="center" indent="1"/>
    </xf>
    <xf numFmtId="164" fontId="6" fillId="11" borderId="2" xfId="0" applyNumberFormat="1" applyFont="1" applyFill="1" applyBorder="1" applyAlignment="1">
      <alignment horizontal="left" vertical="center" indent="1"/>
    </xf>
    <xf numFmtId="0" fontId="5" fillId="3" borderId="2" xfId="2" applyFont="1" applyFill="1" applyBorder="1" applyAlignment="1">
      <alignment horizontal="right" indent="1"/>
    </xf>
    <xf numFmtId="0" fontId="5" fillId="3" borderId="8" xfId="2" applyFont="1" applyFill="1" applyBorder="1"/>
    <xf numFmtId="0" fontId="5" fillId="6" borderId="1" xfId="2" applyFont="1" applyFill="1" applyBorder="1" applyAlignment="1">
      <alignment horizontal="center"/>
    </xf>
    <xf numFmtId="164" fontId="8" fillId="11" borderId="2" xfId="0" applyNumberFormat="1" applyFont="1" applyFill="1" applyBorder="1" applyAlignment="1">
      <alignment horizontal="left" vertical="center" indent="1"/>
    </xf>
    <xf numFmtId="164" fontId="17" fillId="0" borderId="1" xfId="3" applyNumberFormat="1" applyFont="1" applyBorder="1" applyAlignment="1" applyProtection="1">
      <alignment horizontal="right"/>
    </xf>
    <xf numFmtId="0" fontId="19" fillId="3" borderId="8" xfId="2" applyFont="1" applyFill="1" applyBorder="1" applyAlignment="1">
      <alignment horizontal="justify"/>
    </xf>
    <xf numFmtId="0" fontId="19" fillId="3" borderId="15" xfId="2" applyFont="1" applyFill="1" applyBorder="1"/>
    <xf numFmtId="0" fontId="19" fillId="3" borderId="2" xfId="2" applyFont="1" applyFill="1" applyBorder="1" applyAlignment="1">
      <alignment horizontal="right" indent="1"/>
    </xf>
    <xf numFmtId="164" fontId="17" fillId="0" borderId="1" xfId="2" applyNumberFormat="1" applyFont="1" applyBorder="1" applyAlignment="1">
      <alignment horizontal="center"/>
    </xf>
    <xf numFmtId="0" fontId="18" fillId="11" borderId="8" xfId="0" applyFont="1" applyFill="1" applyBorder="1" applyAlignment="1">
      <alignment horizontal="left" vertical="center" indent="1"/>
    </xf>
    <xf numFmtId="0" fontId="18" fillId="11" borderId="15" xfId="0" applyFont="1" applyFill="1" applyBorder="1" applyAlignment="1">
      <alignment horizontal="left" vertical="center" indent="1"/>
    </xf>
    <xf numFmtId="0" fontId="20" fillId="11" borderId="15" xfId="0" applyFont="1" applyFill="1" applyBorder="1" applyAlignment="1">
      <alignment horizontal="left" vertical="center" indent="1"/>
    </xf>
    <xf numFmtId="164" fontId="20" fillId="11" borderId="15" xfId="0" applyNumberFormat="1" applyFont="1" applyFill="1" applyBorder="1" applyAlignment="1">
      <alignment horizontal="left" vertical="center" indent="1"/>
    </xf>
    <xf numFmtId="164" fontId="20" fillId="11" borderId="2" xfId="0" applyNumberFormat="1" applyFont="1" applyFill="1" applyBorder="1" applyAlignment="1">
      <alignment horizontal="left" vertical="center" indent="1"/>
    </xf>
    <xf numFmtId="0" fontId="13" fillId="3" borderId="15" xfId="2" applyFont="1" applyFill="1" applyBorder="1"/>
    <xf numFmtId="0" fontId="25" fillId="3" borderId="15" xfId="2" applyFont="1" applyFill="1" applyBorder="1" applyAlignment="1">
      <alignment horizontal="right"/>
    </xf>
    <xf numFmtId="0" fontId="13" fillId="3" borderId="0" xfId="2" applyFont="1" applyFill="1"/>
    <xf numFmtId="0" fontId="5" fillId="3" borderId="8" xfId="2" applyFont="1" applyFill="1" applyBorder="1" applyAlignment="1">
      <alignment horizontal="left"/>
    </xf>
    <xf numFmtId="0" fontId="3" fillId="3" borderId="15" xfId="2" applyFont="1" applyFill="1" applyBorder="1" applyAlignment="1">
      <alignment horizontal="center"/>
    </xf>
    <xf numFmtId="0" fontId="0" fillId="7" borderId="6" xfId="0" applyFill="1" applyBorder="1"/>
    <xf numFmtId="0" fontId="5" fillId="7" borderId="0" xfId="0" applyFont="1" applyFill="1"/>
    <xf numFmtId="0" fontId="5" fillId="7" borderId="0" xfId="0" applyFont="1" applyFill="1" applyAlignment="1">
      <alignment horizontal="center"/>
    </xf>
    <xf numFmtId="164" fontId="0" fillId="7" borderId="0" xfId="0" applyNumberFormat="1" applyFill="1"/>
    <xf numFmtId="0" fontId="0" fillId="7" borderId="20" xfId="0" applyFill="1" applyBorder="1"/>
    <xf numFmtId="0" fontId="7" fillId="4" borderId="26" xfId="0" applyFont="1" applyFill="1" applyBorder="1" applyAlignment="1">
      <alignment horizontal="center" vertical="center"/>
    </xf>
    <xf numFmtId="0" fontId="13" fillId="4" borderId="13" xfId="2" applyFont="1" applyFill="1" applyBorder="1" applyAlignment="1">
      <alignment horizontal="center"/>
    </xf>
    <xf numFmtId="0" fontId="13" fillId="4" borderId="12" xfId="2" applyFont="1" applyFill="1" applyBorder="1" applyAlignment="1">
      <alignment horizontal="center"/>
    </xf>
    <xf numFmtId="0" fontId="0" fillId="7" borderId="3" xfId="0" applyFill="1" applyBorder="1"/>
    <xf numFmtId="0" fontId="0" fillId="7" borderId="4" xfId="0" applyFill="1" applyBorder="1"/>
    <xf numFmtId="0" fontId="5" fillId="7" borderId="4" xfId="0" applyFont="1" applyFill="1" applyBorder="1"/>
    <xf numFmtId="0" fontId="5" fillId="7" borderId="4" xfId="0" applyFont="1" applyFill="1" applyBorder="1" applyAlignment="1">
      <alignment horizontal="center"/>
    </xf>
    <xf numFmtId="164" fontId="0" fillId="7" borderId="4" xfId="0" applyNumberFormat="1" applyFill="1" applyBorder="1"/>
    <xf numFmtId="0" fontId="0" fillId="7" borderId="16" xfId="0" applyFill="1" applyBorder="1"/>
    <xf numFmtId="0" fontId="5" fillId="3" borderId="9" xfId="0" applyFont="1" applyFill="1" applyBorder="1" applyAlignment="1">
      <alignment horizontal="center"/>
    </xf>
    <xf numFmtId="0" fontId="14" fillId="7" borderId="0" xfId="2" applyFont="1" applyFill="1"/>
    <xf numFmtId="164" fontId="14" fillId="7" borderId="0" xfId="4" applyNumberFormat="1" applyFont="1" applyFill="1" applyBorder="1" applyAlignment="1" applyProtection="1">
      <alignment horizontal="center" vertical="center"/>
    </xf>
    <xf numFmtId="165" fontId="6" fillId="11" borderId="15" xfId="0" applyNumberFormat="1" applyFont="1" applyFill="1" applyBorder="1" applyAlignment="1">
      <alignment horizontal="left" vertical="center" indent="1"/>
    </xf>
    <xf numFmtId="0" fontId="19" fillId="3" borderId="8" xfId="2" applyFont="1" applyFill="1" applyBorder="1"/>
    <xf numFmtId="164" fontId="17" fillId="0" borderId="24" xfId="2" applyNumberFormat="1" applyFont="1" applyBorder="1" applyAlignment="1">
      <alignment horizontal="center"/>
    </xf>
    <xf numFmtId="164" fontId="20" fillId="11" borderId="21" xfId="0" applyNumberFormat="1" applyFont="1" applyFill="1" applyBorder="1"/>
    <xf numFmtId="164" fontId="17" fillId="0" borderId="22" xfId="2" applyNumberFormat="1" applyFont="1" applyBorder="1" applyAlignment="1">
      <alignment horizontal="center"/>
    </xf>
    <xf numFmtId="0" fontId="19" fillId="6" borderId="1" xfId="2" applyFont="1" applyFill="1" applyBorder="1" applyAlignment="1">
      <alignment horizontal="center"/>
    </xf>
    <xf numFmtId="164" fontId="17" fillId="0" borderId="9" xfId="2" applyNumberFormat="1" applyFont="1" applyBorder="1" applyAlignment="1">
      <alignment horizontal="center"/>
    </xf>
    <xf numFmtId="164" fontId="20" fillId="11" borderId="23" xfId="0" applyNumberFormat="1" applyFont="1" applyFill="1" applyBorder="1"/>
    <xf numFmtId="164" fontId="18" fillId="11" borderId="2" xfId="0" applyNumberFormat="1" applyFont="1" applyFill="1" applyBorder="1" applyAlignment="1">
      <alignment horizontal="left" vertical="center" indent="1"/>
    </xf>
    <xf numFmtId="164" fontId="17" fillId="9" borderId="2" xfId="2" applyNumberFormat="1" applyFont="1" applyFill="1" applyBorder="1" applyAlignment="1">
      <alignment horizontal="right" indent="1"/>
    </xf>
    <xf numFmtId="165" fontId="20" fillId="11" borderId="15" xfId="0" applyNumberFormat="1" applyFont="1" applyFill="1" applyBorder="1" applyAlignment="1">
      <alignment horizontal="left" vertical="center" indent="1"/>
    </xf>
    <xf numFmtId="0" fontId="19" fillId="3" borderId="8" xfId="2" applyFont="1" applyFill="1" applyBorder="1" applyAlignment="1">
      <alignment horizontal="left"/>
    </xf>
    <xf numFmtId="0" fontId="22" fillId="3" borderId="15" xfId="2" applyFont="1" applyFill="1" applyBorder="1" applyAlignment="1">
      <alignment horizontal="center"/>
    </xf>
    <xf numFmtId="164" fontId="17" fillId="0" borderId="5" xfId="2" applyNumberFormat="1" applyFont="1" applyBorder="1" applyAlignment="1">
      <alignment horizontal="center"/>
    </xf>
    <xf numFmtId="0" fontId="21" fillId="3" borderId="15" xfId="2" applyFont="1" applyFill="1" applyBorder="1" applyAlignment="1">
      <alignment horizontal="center"/>
    </xf>
    <xf numFmtId="0" fontId="26" fillId="3" borderId="15" xfId="2" applyFont="1" applyFill="1" applyBorder="1"/>
    <xf numFmtId="0" fontId="19" fillId="3" borderId="2" xfId="2" applyFont="1" applyFill="1" applyBorder="1" applyAlignment="1">
      <alignment horizontal="center"/>
    </xf>
    <xf numFmtId="0" fontId="7" fillId="4" borderId="0" xfId="0" applyFont="1" applyFill="1" applyAlignment="1">
      <alignment horizontal="center" vertical="center"/>
    </xf>
    <xf numFmtId="0" fontId="12" fillId="4" borderId="0" xfId="2" applyFill="1" applyAlignment="1">
      <alignment horizontal="center"/>
    </xf>
    <xf numFmtId="0" fontId="5" fillId="4" borderId="12" xfId="0" applyFont="1" applyFill="1" applyBorder="1"/>
    <xf numFmtId="0" fontId="2" fillId="7" borderId="0" xfId="0" applyFont="1" applyFill="1"/>
    <xf numFmtId="0" fontId="13" fillId="7" borderId="0" xfId="2" applyFont="1" applyFill="1"/>
    <xf numFmtId="165" fontId="32" fillId="7" borderId="0" xfId="0" applyNumberFormat="1" applyFont="1" applyFill="1" applyAlignment="1">
      <alignment vertical="center"/>
    </xf>
    <xf numFmtId="165" fontId="0" fillId="7" borderId="0" xfId="0" applyNumberFormat="1" applyFill="1"/>
    <xf numFmtId="0" fontId="0" fillId="7" borderId="17" xfId="0" applyFill="1" applyBorder="1"/>
    <xf numFmtId="0" fontId="0" fillId="7" borderId="18" xfId="0" applyFill="1" applyBorder="1"/>
    <xf numFmtId="0" fontId="5" fillId="7" borderId="18" xfId="0" applyFont="1" applyFill="1" applyBorder="1" applyAlignment="1">
      <alignment horizontal="center"/>
    </xf>
    <xf numFmtId="165" fontId="0" fillId="7" borderId="18" xfId="0" applyNumberFormat="1" applyFill="1" applyBorder="1"/>
    <xf numFmtId="0" fontId="0" fillId="7" borderId="19" xfId="0" applyFill="1" applyBorder="1"/>
    <xf numFmtId="0" fontId="5" fillId="0" borderId="0" xfId="0" applyFont="1" applyAlignment="1">
      <alignment horizontal="center"/>
    </xf>
    <xf numFmtId="165" fontId="0" fillId="0" borderId="0" xfId="0" applyNumberFormat="1"/>
    <xf numFmtId="0" fontId="27" fillId="7" borderId="0" xfId="0" applyFont="1" applyFill="1" applyAlignment="1">
      <alignment horizontal="center" vertical="center"/>
    </xf>
    <xf numFmtId="9" fontId="0" fillId="7" borderId="0" xfId="0" applyNumberFormat="1" applyFill="1"/>
    <xf numFmtId="165" fontId="12" fillId="7" borderId="0" xfId="2" applyNumberFormat="1" applyFill="1"/>
    <xf numFmtId="164" fontId="0" fillId="0" borderId="1" xfId="0" applyNumberFormat="1" applyBorder="1"/>
    <xf numFmtId="0" fontId="2" fillId="3" borderId="8" xfId="0" applyFont="1" applyFill="1" applyBorder="1"/>
    <xf numFmtId="0" fontId="5" fillId="3" borderId="15" xfId="0" applyFont="1" applyFill="1" applyBorder="1"/>
    <xf numFmtId="0" fontId="5" fillId="3" borderId="2" xfId="0" applyFont="1" applyFill="1" applyBorder="1" applyAlignment="1">
      <alignment horizontal="right" indent="1"/>
    </xf>
    <xf numFmtId="164" fontId="0" fillId="0" borderId="1" xfId="0" applyNumberFormat="1" applyBorder="1" applyAlignment="1">
      <alignment horizontal="right" vertical="center"/>
    </xf>
    <xf numFmtId="0" fontId="5" fillId="3" borderId="15" xfId="0" applyFont="1" applyFill="1" applyBorder="1" applyAlignment="1">
      <alignment vertical="center"/>
    </xf>
    <xf numFmtId="0" fontId="5" fillId="3" borderId="15" xfId="0" applyFont="1" applyFill="1" applyBorder="1" applyAlignment="1">
      <alignment horizontal="right" vertical="center" indent="1"/>
    </xf>
    <xf numFmtId="0" fontId="5" fillId="3" borderId="2" xfId="0" applyFont="1" applyFill="1" applyBorder="1" applyAlignment="1">
      <alignment horizontal="right" vertical="center" indent="1"/>
    </xf>
    <xf numFmtId="0" fontId="2" fillId="7" borderId="20" xfId="0" applyFont="1" applyFill="1" applyBorder="1"/>
    <xf numFmtId="0" fontId="8" fillId="11" borderId="15" xfId="1" applyFont="1" applyFill="1" applyBorder="1" applyAlignment="1" applyProtection="1">
      <alignment horizontal="left" vertical="center" indent="1"/>
    </xf>
    <xf numFmtId="0" fontId="5" fillId="3" borderId="2" xfId="0" applyFont="1" applyFill="1" applyBorder="1"/>
    <xf numFmtId="0" fontId="0" fillId="3" borderId="15" xfId="0" applyFill="1" applyBorder="1"/>
    <xf numFmtId="0" fontId="0" fillId="3" borderId="2" xfId="0" applyFill="1" applyBorder="1"/>
    <xf numFmtId="0" fontId="0" fillId="3" borderId="15" xfId="0" applyFill="1" applyBorder="1" applyAlignment="1">
      <alignment horizontal="left"/>
    </xf>
    <xf numFmtId="0" fontId="0" fillId="3" borderId="2" xfId="0" applyFill="1" applyBorder="1" applyAlignment="1">
      <alignment horizontal="right"/>
    </xf>
    <xf numFmtId="164" fontId="8" fillId="11" borderId="2" xfId="1" applyNumberFormat="1" applyFont="1" applyFill="1" applyBorder="1" applyAlignment="1" applyProtection="1">
      <alignment horizontal="left" vertical="center" indent="1"/>
    </xf>
    <xf numFmtId="0" fontId="8" fillId="11" borderId="15" xfId="1" applyFont="1" applyFill="1" applyBorder="1" applyAlignment="1" applyProtection="1">
      <alignment vertical="center"/>
    </xf>
    <xf numFmtId="164" fontId="8" fillId="11" borderId="2" xfId="1" applyNumberFormat="1" applyFont="1" applyFill="1" applyBorder="1" applyAlignment="1" applyProtection="1">
      <alignment vertical="center"/>
    </xf>
    <xf numFmtId="0" fontId="0" fillId="0" borderId="6" xfId="0" applyBorder="1"/>
    <xf numFmtId="0" fontId="0" fillId="3" borderId="2" xfId="0" applyFill="1" applyBorder="1" applyAlignment="1">
      <alignment horizontal="right" indent="1"/>
    </xf>
    <xf numFmtId="0" fontId="0" fillId="0" borderId="1" xfId="0" applyBorder="1"/>
    <xf numFmtId="165" fontId="6" fillId="11" borderId="2" xfId="0" applyNumberFormat="1" applyFont="1" applyFill="1" applyBorder="1" applyAlignment="1">
      <alignment horizontal="left" vertical="center" indent="1"/>
    </xf>
    <xf numFmtId="0" fontId="5" fillId="4" borderId="13" xfId="0" applyFont="1" applyFill="1" applyBorder="1"/>
    <xf numFmtId="165" fontId="0" fillId="7" borderId="4" xfId="0" applyNumberFormat="1" applyFill="1" applyBorder="1"/>
    <xf numFmtId="165" fontId="24" fillId="7" borderId="0" xfId="0" applyNumberFormat="1" applyFont="1" applyFill="1" applyAlignment="1">
      <alignment vertical="top"/>
    </xf>
    <xf numFmtId="165" fontId="27" fillId="7" borderId="0" xfId="0" applyNumberFormat="1" applyFont="1" applyFill="1"/>
    <xf numFmtId="165" fontId="24" fillId="7" borderId="0" xfId="0" applyNumberFormat="1" applyFont="1" applyFill="1" applyAlignment="1" applyProtection="1">
      <alignment vertical="top"/>
      <protection hidden="1"/>
    </xf>
    <xf numFmtId="165" fontId="27" fillId="7" borderId="0" xfId="0" applyNumberFormat="1" applyFont="1" applyFill="1" applyProtection="1">
      <protection hidden="1"/>
    </xf>
    <xf numFmtId="9" fontId="0" fillId="0" borderId="15" xfId="0" applyNumberFormat="1" applyBorder="1"/>
    <xf numFmtId="0" fontId="8" fillId="12" borderId="1" xfId="0" applyFont="1" applyFill="1" applyBorder="1" applyAlignment="1" applyProtection="1">
      <alignment horizontal="left"/>
      <protection hidden="1"/>
    </xf>
    <xf numFmtId="0" fontId="7" fillId="4" borderId="11" xfId="0" applyFont="1" applyFill="1" applyBorder="1" applyAlignment="1" applyProtection="1">
      <alignment horizontal="center" vertical="center"/>
      <protection hidden="1"/>
    </xf>
    <xf numFmtId="0" fontId="7" fillId="4" borderId="14" xfId="0" applyFont="1" applyFill="1" applyBorder="1" applyAlignment="1" applyProtection="1">
      <alignment horizontal="center" vertical="center"/>
      <protection hidden="1"/>
    </xf>
    <xf numFmtId="0" fontId="7" fillId="4" borderId="10" xfId="0" applyFont="1" applyFill="1" applyBorder="1" applyAlignment="1" applyProtection="1">
      <alignment horizontal="center" vertical="center"/>
      <protection hidden="1"/>
    </xf>
    <xf numFmtId="0" fontId="7" fillId="4" borderId="7" xfId="0" applyFont="1" applyFill="1" applyBorder="1" applyAlignment="1" applyProtection="1">
      <alignment horizontal="center" vertical="center"/>
      <protection hidden="1"/>
    </xf>
    <xf numFmtId="164" fontId="0" fillId="8" borderId="9" xfId="0" applyNumberFormat="1" applyFill="1" applyBorder="1" applyAlignment="1">
      <alignment horizontal="center"/>
    </xf>
    <xf numFmtId="0" fontId="5" fillId="0" borderId="8" xfId="0" applyFont="1" applyBorder="1" applyAlignment="1" applyProtection="1">
      <alignment horizontal="left" vertical="center"/>
      <protection hidden="1"/>
    </xf>
    <xf numFmtId="0" fontId="5" fillId="0" borderId="2" xfId="0" applyFont="1" applyBorder="1" applyAlignment="1" applyProtection="1">
      <alignment horizontal="left" vertical="center"/>
      <protection hidden="1"/>
    </xf>
    <xf numFmtId="0" fontId="5" fillId="0" borderId="1" xfId="0" applyFont="1" applyBorder="1" applyAlignment="1" applyProtection="1">
      <alignment horizontal="center" vertical="center" wrapText="1"/>
      <protection hidden="1"/>
    </xf>
    <xf numFmtId="0" fontId="9" fillId="5" borderId="8" xfId="0" applyFont="1" applyFill="1" applyBorder="1" applyAlignment="1">
      <alignment horizontal="left" vertical="center" indent="1"/>
    </xf>
    <xf numFmtId="0" fontId="9" fillId="5" borderId="15" xfId="0" applyFont="1" applyFill="1" applyBorder="1" applyAlignment="1">
      <alignment horizontal="left" vertical="center" indent="1"/>
    </xf>
    <xf numFmtId="0" fontId="9" fillId="5" borderId="2" xfId="0" applyFont="1" applyFill="1" applyBorder="1" applyAlignment="1">
      <alignment horizontal="left" vertical="center" indent="1"/>
    </xf>
    <xf numFmtId="0" fontId="27" fillId="9" borderId="8" xfId="0" applyFont="1" applyFill="1" applyBorder="1" applyAlignment="1">
      <alignment horizontal="left" vertical="center" indent="1"/>
    </xf>
    <xf numFmtId="0" fontId="27" fillId="9" borderId="15" xfId="0" applyFont="1" applyFill="1" applyBorder="1" applyAlignment="1">
      <alignment horizontal="left" vertical="center" indent="1"/>
    </xf>
    <xf numFmtId="0" fontId="11" fillId="10" borderId="8" xfId="0" applyFont="1" applyFill="1" applyBorder="1" applyAlignment="1">
      <alignment horizontal="left" vertical="center" indent="1"/>
    </xf>
    <xf numFmtId="0" fontId="4" fillId="10" borderId="15" xfId="0" applyFont="1" applyFill="1" applyBorder="1" applyAlignment="1">
      <alignment horizontal="left" vertical="center" indent="1"/>
    </xf>
    <xf numFmtId="0" fontId="4" fillId="10" borderId="2" xfId="0" applyFont="1" applyFill="1" applyBorder="1" applyAlignment="1">
      <alignment horizontal="left" vertical="center" indent="1"/>
    </xf>
    <xf numFmtId="0" fontId="7" fillId="4" borderId="9" xfId="0" applyFont="1" applyFill="1" applyBorder="1" applyAlignment="1">
      <alignment horizontal="center" vertical="center"/>
    </xf>
    <xf numFmtId="0" fontId="7" fillId="4" borderId="25" xfId="0" applyFont="1" applyFill="1" applyBorder="1" applyAlignment="1">
      <alignment horizontal="center" vertical="center"/>
    </xf>
    <xf numFmtId="0" fontId="8" fillId="11" borderId="1" xfId="0" applyFont="1" applyFill="1" applyBorder="1" applyAlignment="1">
      <alignment horizontal="left" vertical="center" indent="1"/>
    </xf>
    <xf numFmtId="0" fontId="8" fillId="11" borderId="8" xfId="0" applyFont="1" applyFill="1" applyBorder="1" applyAlignment="1">
      <alignment horizontal="left" vertical="center" indent="1"/>
    </xf>
    <xf numFmtId="0" fontId="7" fillId="4" borderId="11"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7" xfId="0" applyFont="1" applyFill="1" applyBorder="1" applyAlignment="1">
      <alignment horizontal="center" vertical="center"/>
    </xf>
    <xf numFmtId="0" fontId="8" fillId="11" borderId="8" xfId="1" applyFont="1" applyFill="1" applyBorder="1" applyAlignment="1" applyProtection="1">
      <alignment horizontal="left" vertical="center" indent="1"/>
    </xf>
    <xf numFmtId="0" fontId="8" fillId="11" borderId="15" xfId="1" applyFont="1" applyFill="1" applyBorder="1" applyAlignment="1" applyProtection="1">
      <alignment horizontal="left" vertical="center" indent="1"/>
    </xf>
    <xf numFmtId="0" fontId="25" fillId="3" borderId="15" xfId="2" applyFont="1" applyFill="1" applyBorder="1" applyAlignment="1">
      <alignment horizontal="right" indent="1"/>
    </xf>
    <xf numFmtId="0" fontId="24" fillId="3" borderId="2" xfId="2" applyFont="1" applyFill="1" applyBorder="1" applyAlignment="1">
      <alignment horizontal="right" indent="1"/>
    </xf>
    <xf numFmtId="0" fontId="25" fillId="3" borderId="2" xfId="2" applyFont="1" applyFill="1" applyBorder="1" applyAlignment="1">
      <alignment horizontal="right" indent="1"/>
    </xf>
    <xf numFmtId="0" fontId="23" fillId="3" borderId="2" xfId="2" applyFont="1" applyFill="1" applyBorder="1" applyAlignment="1">
      <alignment horizontal="right" indent="1"/>
    </xf>
    <xf numFmtId="0" fontId="26" fillId="3" borderId="2" xfId="2" applyFont="1" applyFill="1" applyBorder="1" applyAlignment="1">
      <alignment horizontal="right" indent="1"/>
    </xf>
  </cellXfs>
  <cellStyles count="5">
    <cellStyle name="Euro" xfId="3" xr:uid="{BFD89ECE-3848-48F3-9544-5B412526350D}"/>
    <cellStyle name="Normale" xfId="0" builtinId="0"/>
    <cellStyle name="Normale 2" xfId="2" xr:uid="{F08F70E8-2C85-4C5B-9D43-55D2907B1BBF}"/>
    <cellStyle name="Percentuale 2" xfId="4" xr:uid="{746454EC-47C3-4BE5-BD36-9E9F51A2C951}"/>
    <cellStyle name="Valore valido" xfId="1" builtinId="26"/>
  </cellStyles>
  <dxfs count="1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1" hidden="1"/>
    </dxf>
  </dxfs>
  <tableStyles count="0" defaultTableStyle="TableStyleMedium2" defaultPivotStyle="PivotStyleLight16"/>
  <colors>
    <mruColors>
      <color rgb="FF192B4F"/>
      <color rgb="FF236195"/>
      <color rgb="FF246498"/>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895</xdr:row>
      <xdr:rowOff>0</xdr:rowOff>
    </xdr:from>
    <xdr:to>
      <xdr:col>1</xdr:col>
      <xdr:colOff>2529840</xdr:colOff>
      <xdr:row>895</xdr:row>
      <xdr:rowOff>0</xdr:rowOff>
    </xdr:to>
    <xdr:pic>
      <xdr:nvPicPr>
        <xdr:cNvPr id="2" name="Immagine 239" descr="New Albatross Logo">
          <a:extLst>
            <a:ext uri="{FF2B5EF4-FFF2-40B4-BE49-F238E27FC236}">
              <a16:creationId xmlns:a16="http://schemas.microsoft.com/office/drawing/2014/main" id="{80E1B184-CE89-4A05-960D-3F802B5BA3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7100"/>
          <a:ext cx="25374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895</xdr:row>
      <xdr:rowOff>0</xdr:rowOff>
    </xdr:from>
    <xdr:to>
      <xdr:col>1</xdr:col>
      <xdr:colOff>2529840</xdr:colOff>
      <xdr:row>895</xdr:row>
      <xdr:rowOff>0</xdr:rowOff>
    </xdr:to>
    <xdr:pic>
      <xdr:nvPicPr>
        <xdr:cNvPr id="3" name="Immagine 240" descr="New Albatross Logo">
          <a:extLst>
            <a:ext uri="{FF2B5EF4-FFF2-40B4-BE49-F238E27FC236}">
              <a16:creationId xmlns:a16="http://schemas.microsoft.com/office/drawing/2014/main" id="{20311DB5-ED70-49B7-B220-2593687561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7100"/>
          <a:ext cx="25374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895</xdr:row>
      <xdr:rowOff>0</xdr:rowOff>
    </xdr:from>
    <xdr:to>
      <xdr:col>1</xdr:col>
      <xdr:colOff>2529840</xdr:colOff>
      <xdr:row>895</xdr:row>
      <xdr:rowOff>0</xdr:rowOff>
    </xdr:to>
    <xdr:pic>
      <xdr:nvPicPr>
        <xdr:cNvPr id="4" name="Immagine 241" descr="New Albatross Logo">
          <a:extLst>
            <a:ext uri="{FF2B5EF4-FFF2-40B4-BE49-F238E27FC236}">
              <a16:creationId xmlns:a16="http://schemas.microsoft.com/office/drawing/2014/main" id="{10D1ECA5-7150-4ACC-8239-E41D8D772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7100"/>
          <a:ext cx="25374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91440</xdr:colOff>
      <xdr:row>895</xdr:row>
      <xdr:rowOff>0</xdr:rowOff>
    </xdr:from>
    <xdr:to>
      <xdr:col>1</xdr:col>
      <xdr:colOff>2649855</xdr:colOff>
      <xdr:row>895</xdr:row>
      <xdr:rowOff>0</xdr:rowOff>
    </xdr:to>
    <xdr:pic>
      <xdr:nvPicPr>
        <xdr:cNvPr id="5" name="Immagine 242" descr="New Albatross Logo">
          <a:extLst>
            <a:ext uri="{FF2B5EF4-FFF2-40B4-BE49-F238E27FC236}">
              <a16:creationId xmlns:a16="http://schemas.microsoft.com/office/drawing/2014/main" id="{3B87EF08-21EE-4883-8BAE-11921F113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55867100"/>
          <a:ext cx="25374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914</xdr:row>
      <xdr:rowOff>0</xdr:rowOff>
    </xdr:from>
    <xdr:to>
      <xdr:col>1</xdr:col>
      <xdr:colOff>1045845</xdr:colOff>
      <xdr:row>914</xdr:row>
      <xdr:rowOff>0</xdr:rowOff>
    </xdr:to>
    <xdr:pic>
      <xdr:nvPicPr>
        <xdr:cNvPr id="2" name="Immagine 254">
          <a:extLst>
            <a:ext uri="{FF2B5EF4-FFF2-40B4-BE49-F238E27FC236}">
              <a16:creationId xmlns:a16="http://schemas.microsoft.com/office/drawing/2014/main" id="{F53A0A8D-8297-48A9-A96E-B885A4DEF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119060"/>
          <a:ext cx="10515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137160</xdr:colOff>
      <xdr:row>914</xdr:row>
      <xdr:rowOff>0</xdr:rowOff>
    </xdr:from>
    <xdr:to>
      <xdr:col>1</xdr:col>
      <xdr:colOff>1179195</xdr:colOff>
      <xdr:row>914</xdr:row>
      <xdr:rowOff>0</xdr:rowOff>
    </xdr:to>
    <xdr:pic>
      <xdr:nvPicPr>
        <xdr:cNvPr id="3" name="Immagine 255">
          <a:extLst>
            <a:ext uri="{FF2B5EF4-FFF2-40B4-BE49-F238E27FC236}">
              <a16:creationId xmlns:a16="http://schemas.microsoft.com/office/drawing/2014/main" id="{3AFF2C0F-A608-4E76-95DB-C91D76650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160119060"/>
          <a:ext cx="10439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2EA0F-8187-46FC-9C85-DDD084A559C9}" name="tabella1" displayName="tabella1" ref="U24:AI125" totalsRowShown="0" headerRowDxfId="16" dataDxfId="15">
  <autoFilter ref="U24:AI125" xr:uid="{E112EA0F-8187-46FC-9C85-DDD084A559C9}"/>
  <tableColumns count="15">
    <tableColumn id="1" xr3:uid="{3F379B74-735A-488A-9CCE-4EE7171EB50D}" name="Slope to floor (m)" dataDxfId="14"/>
    <tableColumn id="2" xr3:uid="{7B2E38CB-8899-4ABA-A7F3-B31E25BDE074}" name="slope (nose to nose)" dataDxfId="13"/>
    <tableColumn id="3" xr3:uid="{5F1E949D-D453-482A-95A1-E2D2776D2D4B}" name="Travel (last nose to flor)" dataDxfId="12"/>
    <tableColumn id="4" xr3:uid="{19B85207-B489-490A-8003-D548C9589B2A}" name="required rail length" dataDxfId="11"/>
    <tableColumn id="5" xr3:uid="{AB4970EB-C2ED-4124-A802-1850FE82D56E}" name="1000" dataDxfId="10"/>
    <tableColumn id="6" xr3:uid="{E03A30C7-6EEC-467D-83A5-F9554B093370}" name="1400" dataDxfId="9"/>
    <tableColumn id="7" xr3:uid="{9FDD3D6A-1379-49D6-9E21-520300B5B1F9}" name="1800" dataDxfId="8"/>
    <tableColumn id="8" xr3:uid="{691EE802-E048-43C5-B04B-C73A66D2D2C4}" name="2200" dataDxfId="7"/>
    <tableColumn id="9" xr3:uid="{2151AABC-22D7-43A9-BD20-D8A8A752C665}" name="actual rail total length" dataDxfId="6"/>
    <tableColumn id="10" xr3:uid="{1ADB2CA0-DE08-4E92-8420-F897BA5A3A1C}" name="rail length excess (mm)" dataDxfId="5"/>
    <tableColumn id="11" xr3:uid="{87F4993B-FB27-4026-82D2-948EFC06FFEB}" name="q.ty of sections" dataDxfId="4"/>
    <tableColumn id="12" xr3:uid="{B480C0C6-8014-46DE-BF52-BEF3BE6DF96E}" name="q.ty of splices" dataDxfId="3"/>
    <tableColumn id="13" xr3:uid="{D2A275F4-AAD0-40AD-8861-F511EFB5D2C7}" name="bracket quantity" dataDxfId="2"/>
    <tableColumn id="14" xr3:uid="{16D55A3C-4EA2-4CBF-BBEA-E4C56BDF78BC}" name="Total rail price" dataDxfId="1"/>
    <tableColumn id="15" xr3:uid="{D7ED753F-2C6B-4C5D-B65E-A992BDBBC28A}" name="towers_x000a_q.ty" dataDxfId="0"/>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630B-3DEA-4EE6-8CDE-7BEBAD59A9A3}">
  <sheetPr>
    <pageSetUpPr fitToPage="1"/>
  </sheetPr>
  <dimension ref="A1:IT932"/>
  <sheetViews>
    <sheetView tabSelected="1" zoomScaleNormal="100" zoomScaleSheetLayoutView="100" workbookViewId="0">
      <selection activeCell="G3" sqref="G3"/>
    </sheetView>
  </sheetViews>
  <sheetFormatPr defaultColWidth="11" defaultRowHeight="0" customHeight="1" zeroHeight="1" x14ac:dyDescent="0.25"/>
  <cols>
    <col min="1" max="1" width="13.296875" style="134" customWidth="1"/>
    <col min="2" max="2" width="62" style="134" customWidth="1"/>
    <col min="3" max="3" width="17" style="147" customWidth="1"/>
    <col min="4" max="4" width="12.69921875" style="148" customWidth="1"/>
    <col min="5" max="5" width="10.5" style="148" hidden="1" customWidth="1"/>
    <col min="6" max="6" width="15.3984375" style="149" hidden="1" customWidth="1"/>
    <col min="7" max="7" width="27.09765625" style="148" customWidth="1"/>
    <col min="8" max="8" width="17.09765625" style="152" customWidth="1"/>
    <col min="9" max="9" width="13.19921875" style="134" customWidth="1"/>
    <col min="10" max="16384" width="11" style="134"/>
  </cols>
  <sheetData>
    <row r="1" spans="1:9" ht="15.6" customHeight="1" x14ac:dyDescent="0.3">
      <c r="A1" s="204"/>
      <c r="B1" s="205"/>
      <c r="C1" s="205"/>
      <c r="D1" s="205"/>
      <c r="E1" s="205"/>
      <c r="F1" s="206"/>
      <c r="G1" s="207"/>
      <c r="H1" s="208"/>
      <c r="I1" s="209"/>
    </row>
    <row r="2" spans="1:9" ht="14.4" customHeight="1" x14ac:dyDescent="0.3">
      <c r="A2" s="196"/>
      <c r="B2" s="293" t="s">
        <v>109</v>
      </c>
      <c r="C2" s="293"/>
      <c r="D2" s="294"/>
      <c r="E2" s="201"/>
      <c r="F2" s="202"/>
      <c r="G2" s="210" t="s">
        <v>74</v>
      </c>
      <c r="H2" s="281" t="e" vm="1">
        <v>#VALUE!</v>
      </c>
      <c r="I2" s="200"/>
    </row>
    <row r="3" spans="1:9" ht="45.6" customHeight="1" x14ac:dyDescent="0.3">
      <c r="A3" s="196"/>
      <c r="B3" s="293"/>
      <c r="C3" s="293"/>
      <c r="D3" s="294"/>
      <c r="E3" s="201"/>
      <c r="F3" s="203"/>
      <c r="G3" s="7"/>
      <c r="H3" s="281"/>
      <c r="I3" s="200"/>
    </row>
    <row r="4" spans="1:9" ht="15.6" customHeight="1" x14ac:dyDescent="0.3">
      <c r="A4" s="196"/>
      <c r="B4" s="135"/>
      <c r="C4" s="135"/>
      <c r="D4" s="135"/>
      <c r="E4" s="135"/>
      <c r="F4" s="197"/>
      <c r="G4" s="198"/>
      <c r="H4" s="199"/>
      <c r="I4" s="200"/>
    </row>
    <row r="5" spans="1:9" ht="18" customHeight="1" x14ac:dyDescent="0.3">
      <c r="A5" s="196"/>
      <c r="B5" s="172" t="s">
        <v>96</v>
      </c>
      <c r="C5" s="173"/>
      <c r="D5" s="173"/>
      <c r="E5" s="173"/>
      <c r="F5" s="173"/>
      <c r="G5" s="173"/>
      <c r="H5" s="180"/>
      <c r="I5" s="200"/>
    </row>
    <row r="6" spans="1:9" ht="18" customHeight="1" x14ac:dyDescent="0.3">
      <c r="A6" s="126"/>
      <c r="B6" s="178" t="s">
        <v>128</v>
      </c>
      <c r="C6" s="169"/>
      <c r="D6" s="177"/>
      <c r="E6" s="177"/>
      <c r="F6" s="171">
        <v>8287.5</v>
      </c>
      <c r="G6" s="179">
        <v>1</v>
      </c>
      <c r="H6" s="167">
        <f>F6*G6</f>
        <v>8287.5</v>
      </c>
      <c r="I6" s="133"/>
    </row>
    <row r="7" spans="1:9" ht="18" customHeight="1" x14ac:dyDescent="0.25">
      <c r="A7" s="126"/>
      <c r="B7" s="172" t="s">
        <v>97</v>
      </c>
      <c r="C7" s="173"/>
      <c r="D7" s="174"/>
      <c r="E7" s="174"/>
      <c r="F7" s="175"/>
      <c r="G7" s="173"/>
      <c r="H7" s="180"/>
      <c r="I7" s="133"/>
    </row>
    <row r="8" spans="1:9" ht="18" customHeight="1" x14ac:dyDescent="0.3">
      <c r="A8" s="126"/>
      <c r="B8" s="178" t="s">
        <v>78</v>
      </c>
      <c r="C8" s="169"/>
      <c r="D8" s="177" t="s">
        <v>72</v>
      </c>
      <c r="E8" s="177"/>
      <c r="F8" s="171">
        <v>75</v>
      </c>
      <c r="G8" s="1"/>
      <c r="H8" s="167">
        <f t="shared" ref="H8:H27" si="0">F8*G8</f>
        <v>0</v>
      </c>
      <c r="I8" s="133"/>
    </row>
    <row r="9" spans="1:9" ht="18" customHeight="1" x14ac:dyDescent="0.3">
      <c r="A9" s="126"/>
      <c r="B9" s="178" t="s">
        <v>79</v>
      </c>
      <c r="C9" s="169"/>
      <c r="D9" s="177" t="s">
        <v>71</v>
      </c>
      <c r="E9" s="177"/>
      <c r="F9" s="171">
        <v>225</v>
      </c>
      <c r="G9" s="3"/>
      <c r="H9" s="167">
        <f t="shared" si="0"/>
        <v>0</v>
      </c>
      <c r="I9" s="133"/>
    </row>
    <row r="10" spans="1:9" ht="18" customHeight="1" x14ac:dyDescent="0.3">
      <c r="A10" s="126"/>
      <c r="B10" s="178" t="s">
        <v>225</v>
      </c>
      <c r="C10" s="169"/>
      <c r="D10" s="177" t="s">
        <v>72</v>
      </c>
      <c r="E10" s="177"/>
      <c r="F10" s="171">
        <v>30</v>
      </c>
      <c r="G10" s="1"/>
      <c r="H10" s="167">
        <f t="shared" si="0"/>
        <v>0</v>
      </c>
      <c r="I10" s="133"/>
    </row>
    <row r="11" spans="1:9" ht="18" customHeight="1" x14ac:dyDescent="0.3">
      <c r="A11" s="126"/>
      <c r="B11" s="178" t="s">
        <v>226</v>
      </c>
      <c r="C11" s="169"/>
      <c r="D11" s="177" t="s">
        <v>71</v>
      </c>
      <c r="E11" s="177"/>
      <c r="F11" s="171">
        <v>90</v>
      </c>
      <c r="G11" s="3"/>
      <c r="H11" s="167">
        <f t="shared" si="0"/>
        <v>0</v>
      </c>
      <c r="I11" s="133"/>
    </row>
    <row r="12" spans="1:9" ht="18" customHeight="1" x14ac:dyDescent="0.3">
      <c r="A12" s="126"/>
      <c r="B12" s="178" t="s">
        <v>80</v>
      </c>
      <c r="C12" s="169"/>
      <c r="D12" s="177" t="s">
        <v>72</v>
      </c>
      <c r="E12" s="177"/>
      <c r="F12" s="171">
        <v>120</v>
      </c>
      <c r="G12" s="1"/>
      <c r="H12" s="167">
        <f t="shared" si="0"/>
        <v>0</v>
      </c>
      <c r="I12" s="133"/>
    </row>
    <row r="13" spans="1:9" ht="18" customHeight="1" x14ac:dyDescent="0.25">
      <c r="A13" s="126"/>
      <c r="B13" s="172" t="s">
        <v>98</v>
      </c>
      <c r="C13" s="173"/>
      <c r="D13" s="174"/>
      <c r="E13" s="174"/>
      <c r="F13" s="175"/>
      <c r="G13" s="173"/>
      <c r="H13" s="180"/>
      <c r="I13" s="133"/>
    </row>
    <row r="14" spans="1:9" ht="18" customHeight="1" x14ac:dyDescent="0.3">
      <c r="A14" s="126"/>
      <c r="B14" s="178" t="s">
        <v>81</v>
      </c>
      <c r="C14" s="169"/>
      <c r="D14" s="177" t="s">
        <v>72</v>
      </c>
      <c r="E14" s="177"/>
      <c r="F14" s="171">
        <v>450</v>
      </c>
      <c r="G14" s="2"/>
      <c r="H14" s="167">
        <f t="shared" si="0"/>
        <v>0</v>
      </c>
      <c r="I14" s="133"/>
    </row>
    <row r="15" spans="1:9" ht="18" customHeight="1" x14ac:dyDescent="0.3">
      <c r="A15" s="126"/>
      <c r="B15" s="178" t="s">
        <v>82</v>
      </c>
      <c r="C15" s="169"/>
      <c r="D15" s="305" t="s">
        <v>222</v>
      </c>
      <c r="E15" s="177"/>
      <c r="F15" s="171">
        <v>225</v>
      </c>
      <c r="G15" s="2"/>
      <c r="H15" s="167">
        <f t="shared" si="0"/>
        <v>0</v>
      </c>
      <c r="I15" s="133"/>
    </row>
    <row r="16" spans="1:9" ht="18" customHeight="1" x14ac:dyDescent="0.3">
      <c r="A16" s="126"/>
      <c r="B16" s="178" t="s">
        <v>83</v>
      </c>
      <c r="C16" s="169"/>
      <c r="D16" s="305" t="s">
        <v>222</v>
      </c>
      <c r="E16" s="177"/>
      <c r="F16" s="171">
        <v>300</v>
      </c>
      <c r="G16" s="2"/>
      <c r="H16" s="167">
        <f t="shared" si="0"/>
        <v>0</v>
      </c>
      <c r="I16" s="133"/>
    </row>
    <row r="17" spans="1:254" ht="18" customHeight="1" x14ac:dyDescent="0.3">
      <c r="A17" s="126"/>
      <c r="B17" s="178" t="s">
        <v>84</v>
      </c>
      <c r="C17" s="169"/>
      <c r="D17" s="305" t="s">
        <v>222</v>
      </c>
      <c r="E17" s="177"/>
      <c r="F17" s="171">
        <v>675</v>
      </c>
      <c r="G17" s="2"/>
      <c r="H17" s="167">
        <f t="shared" si="0"/>
        <v>0</v>
      </c>
      <c r="I17" s="133"/>
    </row>
    <row r="18" spans="1:254" ht="18" customHeight="1" x14ac:dyDescent="0.3">
      <c r="A18" s="126"/>
      <c r="B18" s="178" t="s">
        <v>218</v>
      </c>
      <c r="C18" s="191"/>
      <c r="D18" s="303" t="s">
        <v>223</v>
      </c>
      <c r="E18" s="192"/>
      <c r="F18" s="171">
        <v>0</v>
      </c>
      <c r="G18" s="2"/>
      <c r="H18" s="167">
        <f t="shared" si="0"/>
        <v>0</v>
      </c>
      <c r="I18" s="133"/>
    </row>
    <row r="19" spans="1:254" ht="18" customHeight="1" x14ac:dyDescent="0.3">
      <c r="A19" s="126"/>
      <c r="B19" s="178" t="s">
        <v>219</v>
      </c>
      <c r="C19" s="193"/>
      <c r="D19" s="303" t="s">
        <v>223</v>
      </c>
      <c r="E19" s="192"/>
      <c r="F19" s="171">
        <v>0</v>
      </c>
      <c r="G19" s="2"/>
      <c r="H19" s="167">
        <f t="shared" si="0"/>
        <v>0</v>
      </c>
      <c r="I19" s="133"/>
    </row>
    <row r="20" spans="1:254" ht="18" customHeight="1" x14ac:dyDescent="0.3">
      <c r="A20" s="126"/>
      <c r="B20" s="178" t="s">
        <v>220</v>
      </c>
      <c r="C20" s="169"/>
      <c r="D20" s="304" t="s">
        <v>224</v>
      </c>
      <c r="E20" s="177"/>
      <c r="F20" s="171">
        <v>750</v>
      </c>
      <c r="G20" s="2"/>
      <c r="H20" s="167">
        <f t="shared" si="0"/>
        <v>0</v>
      </c>
      <c r="I20" s="133"/>
    </row>
    <row r="21" spans="1:254" ht="18" customHeight="1" x14ac:dyDescent="0.3">
      <c r="A21" s="126"/>
      <c r="B21" s="178" t="s">
        <v>85</v>
      </c>
      <c r="C21" s="169"/>
      <c r="D21" s="177"/>
      <c r="E21" s="177"/>
      <c r="F21" s="171">
        <v>375</v>
      </c>
      <c r="G21" s="2"/>
      <c r="H21" s="167">
        <f t="shared" si="0"/>
        <v>0</v>
      </c>
      <c r="I21" s="133"/>
    </row>
    <row r="22" spans="1:254" ht="18" customHeight="1" x14ac:dyDescent="0.3">
      <c r="A22" s="126"/>
      <c r="B22" s="178" t="s">
        <v>86</v>
      </c>
      <c r="C22" s="169"/>
      <c r="D22" s="177"/>
      <c r="E22" s="177"/>
      <c r="F22" s="171">
        <v>150</v>
      </c>
      <c r="G22" s="2"/>
      <c r="H22" s="167">
        <f t="shared" si="0"/>
        <v>0</v>
      </c>
      <c r="I22" s="133"/>
    </row>
    <row r="23" spans="1:254" ht="18" customHeight="1" x14ac:dyDescent="0.3">
      <c r="A23" s="126"/>
      <c r="B23" s="178" t="s">
        <v>87</v>
      </c>
      <c r="C23" s="169"/>
      <c r="D23" s="177"/>
      <c r="E23" s="177"/>
      <c r="F23" s="171">
        <v>375</v>
      </c>
      <c r="G23" s="2"/>
      <c r="H23" s="167">
        <f t="shared" si="0"/>
        <v>0</v>
      </c>
      <c r="I23" s="133"/>
    </row>
    <row r="24" spans="1:254" ht="18" customHeight="1" x14ac:dyDescent="0.3">
      <c r="A24" s="126"/>
      <c r="B24" s="178" t="s">
        <v>88</v>
      </c>
      <c r="C24" s="169"/>
      <c r="D24" s="177"/>
      <c r="E24" s="177"/>
      <c r="F24" s="171">
        <v>375</v>
      </c>
      <c r="G24" s="2"/>
      <c r="H24" s="167">
        <f t="shared" si="0"/>
        <v>0</v>
      </c>
      <c r="I24" s="133"/>
    </row>
    <row r="25" spans="1:254" ht="18" customHeight="1" x14ac:dyDescent="0.3">
      <c r="A25" s="126"/>
      <c r="B25" s="178" t="s">
        <v>89</v>
      </c>
      <c r="C25" s="169"/>
      <c r="D25" s="177"/>
      <c r="E25" s="177"/>
      <c r="F25" s="171">
        <v>375</v>
      </c>
      <c r="G25" s="2"/>
      <c r="H25" s="167">
        <f t="shared" si="0"/>
        <v>0</v>
      </c>
      <c r="I25" s="133"/>
      <c r="IT25" s="134" t="s">
        <v>90</v>
      </c>
    </row>
    <row r="26" spans="1:254" ht="18" customHeight="1" x14ac:dyDescent="0.3">
      <c r="A26" s="126"/>
      <c r="B26" s="194" t="s">
        <v>221</v>
      </c>
      <c r="C26" s="195"/>
      <c r="D26" s="305" t="s">
        <v>223</v>
      </c>
      <c r="E26" s="177"/>
      <c r="F26" s="171">
        <v>0</v>
      </c>
      <c r="G26" s="1"/>
      <c r="H26" s="167">
        <f t="shared" si="0"/>
        <v>0</v>
      </c>
      <c r="I26" s="133"/>
    </row>
    <row r="27" spans="1:254" ht="18" customHeight="1" x14ac:dyDescent="0.3">
      <c r="A27" s="126"/>
      <c r="B27" s="194" t="s">
        <v>91</v>
      </c>
      <c r="C27" s="195"/>
      <c r="D27" s="177"/>
      <c r="E27" s="177"/>
      <c r="F27" s="171">
        <v>750</v>
      </c>
      <c r="G27" s="2"/>
      <c r="H27" s="167">
        <f t="shared" si="0"/>
        <v>0</v>
      </c>
      <c r="I27" s="133"/>
    </row>
    <row r="28" spans="1:254" ht="18" customHeight="1" x14ac:dyDescent="0.25">
      <c r="A28" s="126"/>
      <c r="B28" s="186" t="s">
        <v>117</v>
      </c>
      <c r="C28" s="187"/>
      <c r="D28" s="188"/>
      <c r="E28" s="188"/>
      <c r="F28" s="189"/>
      <c r="G28" s="187"/>
      <c r="H28" s="190"/>
      <c r="I28" s="133"/>
    </row>
    <row r="29" spans="1:254" ht="18" customHeight="1" x14ac:dyDescent="0.3">
      <c r="A29" s="126"/>
      <c r="B29" s="182" t="s">
        <v>119</v>
      </c>
      <c r="C29" s="183"/>
      <c r="D29" s="184"/>
      <c r="E29" s="184"/>
      <c r="F29" s="185">
        <v>750</v>
      </c>
      <c r="G29" s="4"/>
      <c r="H29" s="181">
        <f>F29*G29</f>
        <v>0</v>
      </c>
      <c r="I29" s="133"/>
    </row>
    <row r="30" spans="1:254" ht="18" customHeight="1" x14ac:dyDescent="0.25">
      <c r="A30" s="126"/>
      <c r="B30" s="172" t="s">
        <v>99</v>
      </c>
      <c r="C30" s="173"/>
      <c r="D30" s="174"/>
      <c r="E30" s="174"/>
      <c r="F30" s="175"/>
      <c r="G30" s="173"/>
      <c r="H30" s="176"/>
      <c r="I30" s="133"/>
    </row>
    <row r="31" spans="1:254" ht="18" customHeight="1" x14ac:dyDescent="0.3">
      <c r="A31" s="126"/>
      <c r="B31" s="168" t="s">
        <v>201</v>
      </c>
      <c r="C31" s="169"/>
      <c r="D31" s="177"/>
      <c r="E31" s="177"/>
      <c r="F31" s="171">
        <v>400</v>
      </c>
      <c r="G31" s="179">
        <v>1</v>
      </c>
      <c r="H31" s="167">
        <v>0</v>
      </c>
      <c r="I31" s="133"/>
    </row>
    <row r="32" spans="1:254" ht="18" customHeight="1" x14ac:dyDescent="0.3">
      <c r="A32" s="126"/>
      <c r="B32" s="168" t="s">
        <v>202</v>
      </c>
      <c r="C32" s="169"/>
      <c r="D32" s="177"/>
      <c r="E32" s="177"/>
      <c r="F32" s="171">
        <v>80</v>
      </c>
      <c r="G32" s="179">
        <v>1</v>
      </c>
      <c r="H32" s="167">
        <v>0</v>
      </c>
      <c r="I32" s="133"/>
    </row>
    <row r="33" spans="1:9" ht="18" customHeight="1" x14ac:dyDescent="0.25">
      <c r="A33" s="126"/>
      <c r="B33" s="172" t="s">
        <v>100</v>
      </c>
      <c r="C33" s="173"/>
      <c r="D33" s="174"/>
      <c r="E33" s="174"/>
      <c r="F33" s="175"/>
      <c r="G33" s="173"/>
      <c r="H33" s="180"/>
      <c r="I33" s="133"/>
    </row>
    <row r="34" spans="1:9" ht="18" customHeight="1" x14ac:dyDescent="0.3">
      <c r="A34" s="126"/>
      <c r="B34" s="168" t="s">
        <v>203</v>
      </c>
      <c r="C34" s="169"/>
      <c r="D34" s="177"/>
      <c r="E34" s="177"/>
      <c r="F34" s="171">
        <v>850</v>
      </c>
      <c r="G34" s="179">
        <v>1</v>
      </c>
      <c r="H34" s="167">
        <v>0</v>
      </c>
      <c r="I34" s="133"/>
    </row>
    <row r="35" spans="1:9" ht="18" customHeight="1" x14ac:dyDescent="0.3">
      <c r="A35" s="126"/>
      <c r="B35" s="168" t="s">
        <v>92</v>
      </c>
      <c r="C35" s="169"/>
      <c r="D35" s="177" t="s">
        <v>72</v>
      </c>
      <c r="E35" s="177"/>
      <c r="F35" s="171">
        <v>25</v>
      </c>
      <c r="G35" s="2"/>
      <c r="H35" s="167">
        <f t="shared" ref="H35:H38" si="1">F35*G35</f>
        <v>0</v>
      </c>
      <c r="I35" s="133"/>
    </row>
    <row r="36" spans="1:9" ht="18" customHeight="1" x14ac:dyDescent="0.3">
      <c r="A36" s="126"/>
      <c r="B36" s="168" t="s">
        <v>93</v>
      </c>
      <c r="C36" s="169"/>
      <c r="D36" s="177" t="s">
        <v>72</v>
      </c>
      <c r="E36" s="177"/>
      <c r="F36" s="171">
        <v>80</v>
      </c>
      <c r="G36" s="3"/>
      <c r="H36" s="167">
        <f t="shared" si="1"/>
        <v>0</v>
      </c>
      <c r="I36" s="133"/>
    </row>
    <row r="37" spans="1:9" ht="18" customHeight="1" x14ac:dyDescent="0.3">
      <c r="A37" s="126"/>
      <c r="B37" s="168" t="s">
        <v>126</v>
      </c>
      <c r="C37" s="169"/>
      <c r="D37" s="177"/>
      <c r="E37" s="177"/>
      <c r="F37" s="171">
        <v>300</v>
      </c>
      <c r="G37" s="2"/>
      <c r="H37" s="167">
        <f t="shared" si="1"/>
        <v>0</v>
      </c>
      <c r="I37" s="133"/>
    </row>
    <row r="38" spans="1:9" ht="18" customHeight="1" x14ac:dyDescent="0.3">
      <c r="A38" s="126"/>
      <c r="B38" s="178" t="s">
        <v>121</v>
      </c>
      <c r="C38" s="169"/>
      <c r="D38" s="177"/>
      <c r="E38" s="177"/>
      <c r="F38" s="171">
        <v>150</v>
      </c>
      <c r="G38" s="2"/>
      <c r="H38" s="167">
        <f t="shared" si="1"/>
        <v>0</v>
      </c>
      <c r="I38" s="133"/>
    </row>
    <row r="39" spans="1:9" ht="18" customHeight="1" x14ac:dyDescent="0.25">
      <c r="A39" s="126"/>
      <c r="B39" s="172"/>
      <c r="C39" s="173"/>
      <c r="D39" s="174"/>
      <c r="E39" s="174"/>
      <c r="F39" s="175"/>
      <c r="G39" s="173"/>
      <c r="H39" s="176"/>
      <c r="I39" s="133"/>
    </row>
    <row r="40" spans="1:9" ht="18" customHeight="1" x14ac:dyDescent="0.3">
      <c r="A40" s="126"/>
      <c r="B40" s="168" t="s">
        <v>120</v>
      </c>
      <c r="C40" s="169"/>
      <c r="D40" s="170"/>
      <c r="E40" s="170"/>
      <c r="F40" s="171">
        <f>G40*0.05*(SUM(H6:H29)+SUM(H35:H38)+F31+F32+F34)</f>
        <v>0</v>
      </c>
      <c r="G40" s="4"/>
      <c r="H40" s="167">
        <v>0</v>
      </c>
      <c r="I40" s="133"/>
    </row>
    <row r="41" spans="1:9" ht="15.6" customHeight="1" x14ac:dyDescent="0.25">
      <c r="A41" s="126"/>
      <c r="B41" s="155"/>
      <c r="C41" s="156"/>
      <c r="D41" s="157"/>
      <c r="E41" s="157"/>
      <c r="F41" s="158"/>
      <c r="G41" s="157"/>
      <c r="H41" s="159"/>
      <c r="I41" s="133"/>
    </row>
    <row r="42" spans="1:9" ht="30.6" customHeight="1" x14ac:dyDescent="0.25">
      <c r="A42" s="126"/>
      <c r="B42" s="127"/>
      <c r="C42" s="285" t="s">
        <v>115</v>
      </c>
      <c r="D42" s="286"/>
      <c r="E42" s="286"/>
      <c r="F42" s="287"/>
      <c r="G42" s="160">
        <f>SUM(H6:H29)+SUM(H35:H38)+F31+F32+F34+F40</f>
        <v>9617.5</v>
      </c>
      <c r="H42" s="132"/>
      <c r="I42" s="133"/>
    </row>
    <row r="43" spans="1:9" ht="6" customHeight="1" x14ac:dyDescent="0.25">
      <c r="A43" s="126"/>
      <c r="B43" s="161"/>
      <c r="C43" s="162"/>
      <c r="D43" s="163"/>
      <c r="E43" s="163"/>
      <c r="F43" s="163"/>
      <c r="G43" s="164"/>
      <c r="H43" s="132"/>
      <c r="I43" s="133"/>
    </row>
    <row r="44" spans="1:9" ht="22.8" customHeight="1" x14ac:dyDescent="0.35">
      <c r="A44" s="126"/>
      <c r="B44" s="127"/>
      <c r="C44" s="288" t="s">
        <v>114</v>
      </c>
      <c r="D44" s="289"/>
      <c r="E44" s="165"/>
      <c r="F44" s="275">
        <v>0.15</v>
      </c>
      <c r="G44" s="166">
        <f>-(G42*G45)</f>
        <v>0</v>
      </c>
      <c r="H44" s="272" t="str">
        <f>IF(G45&gt;15%,"ATTENZIONE!","")</f>
        <v/>
      </c>
      <c r="I44" s="133"/>
    </row>
    <row r="45" spans="1:9" ht="24.6" customHeight="1" x14ac:dyDescent="0.25">
      <c r="A45" s="126"/>
      <c r="B45" s="127"/>
      <c r="C45" s="153"/>
      <c r="D45" s="154"/>
      <c r="E45" s="154"/>
      <c r="F45" s="128"/>
      <c r="G45" s="10">
        <v>0</v>
      </c>
      <c r="H45" s="271" t="str">
        <f>IF(G45&gt;15%,"SUPERATO LO SCONTO MASSIMO","")</f>
        <v/>
      </c>
      <c r="I45" s="133"/>
    </row>
    <row r="46" spans="1:9" ht="6" customHeight="1" x14ac:dyDescent="0.3">
      <c r="A46" s="126"/>
      <c r="B46" s="127"/>
      <c r="C46" s="128"/>
      <c r="D46" s="129"/>
      <c r="E46" s="129"/>
      <c r="F46" s="130"/>
      <c r="G46" s="131"/>
      <c r="H46" s="132"/>
      <c r="I46" s="133"/>
    </row>
    <row r="47" spans="1:9" ht="38.4" customHeight="1" x14ac:dyDescent="0.3">
      <c r="A47" s="126"/>
      <c r="B47" s="135"/>
      <c r="C47" s="290" t="s">
        <v>204</v>
      </c>
      <c r="D47" s="291"/>
      <c r="E47" s="291"/>
      <c r="F47" s="292"/>
      <c r="G47" s="136">
        <f>G42*(1-G45)</f>
        <v>9617.5</v>
      </c>
      <c r="H47" s="137" t="str">
        <f>"+ IVA 4% = "&amp;G47*1.04</f>
        <v>+ IVA 4% = 10002,2</v>
      </c>
      <c r="I47" s="138"/>
    </row>
    <row r="48" spans="1:9" ht="19.2" customHeight="1" x14ac:dyDescent="0.25">
      <c r="A48" s="126"/>
      <c r="B48" s="127"/>
      <c r="C48" s="127"/>
      <c r="D48" s="139"/>
      <c r="E48" s="139"/>
      <c r="F48" s="139"/>
      <c r="G48" s="131"/>
      <c r="H48" s="132"/>
      <c r="I48" s="133"/>
    </row>
    <row r="49" spans="1:9" ht="13.2" x14ac:dyDescent="0.25">
      <c r="A49" s="140"/>
      <c r="B49" s="141"/>
      <c r="C49" s="142"/>
      <c r="D49" s="143"/>
      <c r="E49" s="143"/>
      <c r="F49" s="144"/>
      <c r="G49" s="143"/>
      <c r="H49" s="145"/>
      <c r="I49" s="146"/>
    </row>
    <row r="50" spans="1:9" ht="13.2" x14ac:dyDescent="0.25">
      <c r="H50" s="150"/>
    </row>
    <row r="51" spans="1:9" ht="13.2" x14ac:dyDescent="0.25">
      <c r="H51" s="150"/>
    </row>
    <row r="52" spans="1:9" ht="14.4" customHeight="1" x14ac:dyDescent="0.4">
      <c r="B52" s="151"/>
      <c r="H52" s="150"/>
    </row>
    <row r="53" spans="1:9" ht="13.2" x14ac:dyDescent="0.25">
      <c r="H53" s="150"/>
    </row>
    <row r="54" spans="1:9" ht="13.2" x14ac:dyDescent="0.25">
      <c r="H54" s="150"/>
    </row>
    <row r="55" spans="1:9" ht="13.2" x14ac:dyDescent="0.25">
      <c r="H55" s="150"/>
    </row>
    <row r="56" spans="1:9" ht="13.2" x14ac:dyDescent="0.25">
      <c r="H56" s="150"/>
    </row>
    <row r="57" spans="1:9" ht="13.2" x14ac:dyDescent="0.25">
      <c r="H57" s="150"/>
    </row>
    <row r="58" spans="1:9" ht="13.2" x14ac:dyDescent="0.25">
      <c r="H58" s="150"/>
    </row>
    <row r="59" spans="1:9" ht="13.2" x14ac:dyDescent="0.25">
      <c r="H59" s="150"/>
    </row>
    <row r="60" spans="1:9" ht="13.2" x14ac:dyDescent="0.25">
      <c r="H60" s="150"/>
    </row>
    <row r="61" spans="1:9" ht="13.2" x14ac:dyDescent="0.25">
      <c r="H61" s="150"/>
    </row>
    <row r="62" spans="1:9" ht="13.2" x14ac:dyDescent="0.25">
      <c r="H62" s="150"/>
    </row>
    <row r="63" spans="1:9" ht="13.2" x14ac:dyDescent="0.25">
      <c r="H63" s="150"/>
    </row>
    <row r="64" spans="1:9" ht="13.2" x14ac:dyDescent="0.25">
      <c r="H64" s="150"/>
    </row>
    <row r="65" spans="8:8" ht="13.2" x14ac:dyDescent="0.25">
      <c r="H65" s="150"/>
    </row>
    <row r="66" spans="8:8" ht="13.2" x14ac:dyDescent="0.25">
      <c r="H66" s="150"/>
    </row>
    <row r="67" spans="8:8" ht="13.2" x14ac:dyDescent="0.25">
      <c r="H67" s="150"/>
    </row>
    <row r="68" spans="8:8" ht="13.2" x14ac:dyDescent="0.25">
      <c r="H68" s="150"/>
    </row>
    <row r="69" spans="8:8" ht="13.2" x14ac:dyDescent="0.25">
      <c r="H69" s="150"/>
    </row>
    <row r="70" spans="8:8" ht="13.2" x14ac:dyDescent="0.25">
      <c r="H70" s="150"/>
    </row>
    <row r="71" spans="8:8" ht="13.2" x14ac:dyDescent="0.25">
      <c r="H71" s="150"/>
    </row>
    <row r="72" spans="8:8" ht="13.2" x14ac:dyDescent="0.25">
      <c r="H72" s="150"/>
    </row>
    <row r="73" spans="8:8" ht="13.2" x14ac:dyDescent="0.25">
      <c r="H73" s="150"/>
    </row>
    <row r="74" spans="8:8" ht="13.2" x14ac:dyDescent="0.25">
      <c r="H74" s="150"/>
    </row>
    <row r="75" spans="8:8" ht="13.2" x14ac:dyDescent="0.25">
      <c r="H75" s="150"/>
    </row>
    <row r="76" spans="8:8" ht="13.2" x14ac:dyDescent="0.25">
      <c r="H76" s="150"/>
    </row>
    <row r="77" spans="8:8" ht="13.2" x14ac:dyDescent="0.25">
      <c r="H77" s="150"/>
    </row>
    <row r="78" spans="8:8" ht="13.2" x14ac:dyDescent="0.25">
      <c r="H78" s="150"/>
    </row>
    <row r="79" spans="8:8" ht="13.2" x14ac:dyDescent="0.25">
      <c r="H79" s="150"/>
    </row>
    <row r="80" spans="8:8" ht="13.2" x14ac:dyDescent="0.25">
      <c r="H80" s="150"/>
    </row>
    <row r="81" spans="8:8" ht="13.2" x14ac:dyDescent="0.25">
      <c r="H81" s="150"/>
    </row>
    <row r="82" spans="8:8" ht="13.2" x14ac:dyDescent="0.25">
      <c r="H82" s="150"/>
    </row>
    <row r="83" spans="8:8" ht="13.2" x14ac:dyDescent="0.25">
      <c r="H83" s="150"/>
    </row>
    <row r="84" spans="8:8" ht="13.2" x14ac:dyDescent="0.25">
      <c r="H84" s="150"/>
    </row>
    <row r="85" spans="8:8" ht="13.2" x14ac:dyDescent="0.25">
      <c r="H85" s="150"/>
    </row>
    <row r="86" spans="8:8" ht="13.2" x14ac:dyDescent="0.25">
      <c r="H86" s="150"/>
    </row>
    <row r="87" spans="8:8" ht="13.2" x14ac:dyDescent="0.25">
      <c r="H87" s="150"/>
    </row>
    <row r="88" spans="8:8" ht="13.2" x14ac:dyDescent="0.25">
      <c r="H88" s="150"/>
    </row>
    <row r="89" spans="8:8" ht="13.2" x14ac:dyDescent="0.25">
      <c r="H89" s="150"/>
    </row>
    <row r="90" spans="8:8" ht="13.2" x14ac:dyDescent="0.25">
      <c r="H90" s="150"/>
    </row>
    <row r="91" spans="8:8" ht="13.2" x14ac:dyDescent="0.25">
      <c r="H91" s="150"/>
    </row>
    <row r="92" spans="8:8" ht="13.2" x14ac:dyDescent="0.25">
      <c r="H92" s="150"/>
    </row>
    <row r="93" spans="8:8" ht="13.2" x14ac:dyDescent="0.25">
      <c r="H93" s="150"/>
    </row>
    <row r="94" spans="8:8" ht="13.2" x14ac:dyDescent="0.25">
      <c r="H94" s="150"/>
    </row>
    <row r="95" spans="8:8" ht="13.2" x14ac:dyDescent="0.25">
      <c r="H95" s="150"/>
    </row>
    <row r="96" spans="8:8" ht="13.2" x14ac:dyDescent="0.25">
      <c r="H96" s="150"/>
    </row>
    <row r="97" spans="8:8" ht="13.2" x14ac:dyDescent="0.25">
      <c r="H97" s="150"/>
    </row>
    <row r="98" spans="8:8" ht="13.2" x14ac:dyDescent="0.25">
      <c r="H98" s="150"/>
    </row>
    <row r="99" spans="8:8" ht="13.2" x14ac:dyDescent="0.25">
      <c r="H99" s="150"/>
    </row>
    <row r="100" spans="8:8" ht="13.2" x14ac:dyDescent="0.25">
      <c r="H100" s="150"/>
    </row>
    <row r="101" spans="8:8" ht="13.2" x14ac:dyDescent="0.25">
      <c r="H101" s="150"/>
    </row>
    <row r="102" spans="8:8" ht="13.2" x14ac:dyDescent="0.25">
      <c r="H102" s="150"/>
    </row>
    <row r="103" spans="8:8" ht="13.2" x14ac:dyDescent="0.25">
      <c r="H103" s="150"/>
    </row>
    <row r="104" spans="8:8" ht="13.2" x14ac:dyDescent="0.25">
      <c r="H104" s="150"/>
    </row>
    <row r="105" spans="8:8" ht="13.2" x14ac:dyDescent="0.25">
      <c r="H105" s="150"/>
    </row>
    <row r="106" spans="8:8" ht="13.2" x14ac:dyDescent="0.25">
      <c r="H106" s="150"/>
    </row>
    <row r="107" spans="8:8" ht="13.2" x14ac:dyDescent="0.25">
      <c r="H107" s="150"/>
    </row>
    <row r="108" spans="8:8" ht="13.2" x14ac:dyDescent="0.25">
      <c r="H108" s="150"/>
    </row>
    <row r="109" spans="8:8" ht="13.2" x14ac:dyDescent="0.25">
      <c r="H109" s="150"/>
    </row>
    <row r="110" spans="8:8" ht="13.2" x14ac:dyDescent="0.25">
      <c r="H110" s="150"/>
    </row>
    <row r="111" spans="8:8" ht="13.2" x14ac:dyDescent="0.25">
      <c r="H111" s="150"/>
    </row>
    <row r="112" spans="8:8" ht="13.2" x14ac:dyDescent="0.25">
      <c r="H112" s="150"/>
    </row>
    <row r="113" spans="8:8" ht="13.2" x14ac:dyDescent="0.25">
      <c r="H113" s="150"/>
    </row>
    <row r="114" spans="8:8" ht="13.2" x14ac:dyDescent="0.25">
      <c r="H114" s="150"/>
    </row>
    <row r="115" spans="8:8" ht="13.2" x14ac:dyDescent="0.25">
      <c r="H115" s="150"/>
    </row>
    <row r="116" spans="8:8" ht="13.2" x14ac:dyDescent="0.25">
      <c r="H116" s="150"/>
    </row>
    <row r="117" spans="8:8" ht="13.2" x14ac:dyDescent="0.25">
      <c r="H117" s="150"/>
    </row>
    <row r="118" spans="8:8" ht="13.2" x14ac:dyDescent="0.25">
      <c r="H118" s="150"/>
    </row>
    <row r="119" spans="8:8" ht="13.2" x14ac:dyDescent="0.25">
      <c r="H119" s="150"/>
    </row>
    <row r="120" spans="8:8" ht="13.2" x14ac:dyDescent="0.25">
      <c r="H120" s="150"/>
    </row>
    <row r="121" spans="8:8" ht="13.2" x14ac:dyDescent="0.25">
      <c r="H121" s="150"/>
    </row>
    <row r="122" spans="8:8" ht="13.2" x14ac:dyDescent="0.25">
      <c r="H122" s="150"/>
    </row>
    <row r="123" spans="8:8" ht="13.2" x14ac:dyDescent="0.25">
      <c r="H123" s="150"/>
    </row>
    <row r="124" spans="8:8" ht="13.2" x14ac:dyDescent="0.25">
      <c r="H124" s="150"/>
    </row>
    <row r="125" spans="8:8" ht="13.2" x14ac:dyDescent="0.25">
      <c r="H125" s="150"/>
    </row>
    <row r="126" spans="8:8" ht="13.2" x14ac:dyDescent="0.25">
      <c r="H126" s="150"/>
    </row>
    <row r="127" spans="8:8" ht="13.2" x14ac:dyDescent="0.25">
      <c r="H127" s="150"/>
    </row>
    <row r="128" spans="8:8" ht="13.2" x14ac:dyDescent="0.25">
      <c r="H128" s="150"/>
    </row>
    <row r="129" spans="8:8" ht="13.2" x14ac:dyDescent="0.25">
      <c r="H129" s="150"/>
    </row>
    <row r="130" spans="8:8" ht="13.2" x14ac:dyDescent="0.25">
      <c r="H130" s="150"/>
    </row>
    <row r="131" spans="8:8" ht="13.2" x14ac:dyDescent="0.25">
      <c r="H131" s="150"/>
    </row>
    <row r="132" spans="8:8" ht="13.2" x14ac:dyDescent="0.25">
      <c r="H132" s="150"/>
    </row>
    <row r="133" spans="8:8" ht="13.2" x14ac:dyDescent="0.25">
      <c r="H133" s="150"/>
    </row>
    <row r="134" spans="8:8" ht="13.2" x14ac:dyDescent="0.25">
      <c r="H134" s="150"/>
    </row>
    <row r="135" spans="8:8" ht="13.2" x14ac:dyDescent="0.25">
      <c r="H135" s="150"/>
    </row>
    <row r="136" spans="8:8" ht="13.2" x14ac:dyDescent="0.25">
      <c r="H136" s="150"/>
    </row>
    <row r="137" spans="8:8" ht="13.2" x14ac:dyDescent="0.25">
      <c r="H137" s="150"/>
    </row>
    <row r="138" spans="8:8" ht="13.2" x14ac:dyDescent="0.25">
      <c r="H138" s="150"/>
    </row>
    <row r="139" spans="8:8" ht="13.2" x14ac:dyDescent="0.25">
      <c r="H139" s="150"/>
    </row>
    <row r="140" spans="8:8" ht="13.2" x14ac:dyDescent="0.25">
      <c r="H140" s="150"/>
    </row>
    <row r="141" spans="8:8" ht="13.2" x14ac:dyDescent="0.25">
      <c r="H141" s="150"/>
    </row>
    <row r="142" spans="8:8" ht="13.2" x14ac:dyDescent="0.25">
      <c r="H142" s="150"/>
    </row>
    <row r="143" spans="8:8" ht="13.2" x14ac:dyDescent="0.25">
      <c r="H143" s="150"/>
    </row>
    <row r="144" spans="8:8" ht="13.2" x14ac:dyDescent="0.25">
      <c r="H144" s="150"/>
    </row>
    <row r="145" spans="8:8" ht="13.2" x14ac:dyDescent="0.25">
      <c r="H145" s="150"/>
    </row>
    <row r="146" spans="8:8" ht="13.2" x14ac:dyDescent="0.25">
      <c r="H146" s="150"/>
    </row>
    <row r="147" spans="8:8" ht="13.2" x14ac:dyDescent="0.25">
      <c r="H147" s="150"/>
    </row>
    <row r="148" spans="8:8" ht="13.2" x14ac:dyDescent="0.25">
      <c r="H148" s="150"/>
    </row>
    <row r="149" spans="8:8" ht="13.2" x14ac:dyDescent="0.25">
      <c r="H149" s="150"/>
    </row>
    <row r="150" spans="8:8" ht="13.2" x14ac:dyDescent="0.25">
      <c r="H150" s="150"/>
    </row>
    <row r="151" spans="8:8" ht="13.2" x14ac:dyDescent="0.25">
      <c r="H151" s="150"/>
    </row>
    <row r="152" spans="8:8" ht="13.2" x14ac:dyDescent="0.25">
      <c r="H152" s="150"/>
    </row>
    <row r="153" spans="8:8" ht="13.2" x14ac:dyDescent="0.25">
      <c r="H153" s="150"/>
    </row>
    <row r="154" spans="8:8" ht="13.2" x14ac:dyDescent="0.25">
      <c r="H154" s="150"/>
    </row>
    <row r="155" spans="8:8" ht="13.2" x14ac:dyDescent="0.25">
      <c r="H155" s="150"/>
    </row>
    <row r="156" spans="8:8" ht="13.2" x14ac:dyDescent="0.25">
      <c r="H156" s="150"/>
    </row>
    <row r="157" spans="8:8" ht="13.2" x14ac:dyDescent="0.25">
      <c r="H157" s="150"/>
    </row>
    <row r="158" spans="8:8" ht="13.2" x14ac:dyDescent="0.25">
      <c r="H158" s="150"/>
    </row>
    <row r="159" spans="8:8" ht="13.2" x14ac:dyDescent="0.25">
      <c r="H159" s="150"/>
    </row>
    <row r="160" spans="8:8" ht="13.2" x14ac:dyDescent="0.25">
      <c r="H160" s="150"/>
    </row>
    <row r="161" spans="8:8" ht="13.2" x14ac:dyDescent="0.25">
      <c r="H161" s="150"/>
    </row>
    <row r="162" spans="8:8" ht="13.2" x14ac:dyDescent="0.25">
      <c r="H162" s="150"/>
    </row>
    <row r="163" spans="8:8" ht="13.2" x14ac:dyDescent="0.25">
      <c r="H163" s="150"/>
    </row>
    <row r="164" spans="8:8" ht="13.2" x14ac:dyDescent="0.25">
      <c r="H164" s="150"/>
    </row>
    <row r="165" spans="8:8" ht="13.2" x14ac:dyDescent="0.25">
      <c r="H165" s="150"/>
    </row>
    <row r="166" spans="8:8" ht="13.2" x14ac:dyDescent="0.25">
      <c r="H166" s="150"/>
    </row>
    <row r="167" spans="8:8" ht="13.2" x14ac:dyDescent="0.25">
      <c r="H167" s="150"/>
    </row>
    <row r="168" spans="8:8" ht="13.2" x14ac:dyDescent="0.25">
      <c r="H168" s="150"/>
    </row>
    <row r="169" spans="8:8" ht="13.2" x14ac:dyDescent="0.25">
      <c r="H169" s="150"/>
    </row>
    <row r="170" spans="8:8" ht="13.2" x14ac:dyDescent="0.25">
      <c r="H170" s="150"/>
    </row>
    <row r="171" spans="8:8" ht="13.2" x14ac:dyDescent="0.25">
      <c r="H171" s="150"/>
    </row>
    <row r="172" spans="8:8" ht="13.2" x14ac:dyDescent="0.25">
      <c r="H172" s="150"/>
    </row>
    <row r="173" spans="8:8" ht="13.2" x14ac:dyDescent="0.25">
      <c r="H173" s="150"/>
    </row>
    <row r="174" spans="8:8" ht="13.2" x14ac:dyDescent="0.25">
      <c r="H174" s="150"/>
    </row>
    <row r="175" spans="8:8" ht="13.2" x14ac:dyDescent="0.25">
      <c r="H175" s="150"/>
    </row>
    <row r="176" spans="8:8" ht="13.2" x14ac:dyDescent="0.25">
      <c r="H176" s="150"/>
    </row>
    <row r="177" spans="8:8" ht="13.2" x14ac:dyDescent="0.25">
      <c r="H177" s="150"/>
    </row>
    <row r="178" spans="8:8" ht="13.2" x14ac:dyDescent="0.25">
      <c r="H178" s="150"/>
    </row>
    <row r="179" spans="8:8" ht="13.2" x14ac:dyDescent="0.25">
      <c r="H179" s="150"/>
    </row>
    <row r="180" spans="8:8" ht="13.2" x14ac:dyDescent="0.25">
      <c r="H180" s="150"/>
    </row>
    <row r="181" spans="8:8" ht="13.2" x14ac:dyDescent="0.25">
      <c r="H181" s="150"/>
    </row>
    <row r="182" spans="8:8" ht="13.2" x14ac:dyDescent="0.25">
      <c r="H182" s="150"/>
    </row>
    <row r="183" spans="8:8" ht="13.2" x14ac:dyDescent="0.25">
      <c r="H183" s="150"/>
    </row>
    <row r="184" spans="8:8" ht="13.2" x14ac:dyDescent="0.25">
      <c r="H184" s="150"/>
    </row>
    <row r="185" spans="8:8" ht="13.2" x14ac:dyDescent="0.25">
      <c r="H185" s="150"/>
    </row>
    <row r="186" spans="8:8" ht="13.2" x14ac:dyDescent="0.25">
      <c r="H186" s="150"/>
    </row>
    <row r="187" spans="8:8" ht="13.2" x14ac:dyDescent="0.25">
      <c r="H187" s="150"/>
    </row>
    <row r="188" spans="8:8" ht="13.2" x14ac:dyDescent="0.25">
      <c r="H188" s="150"/>
    </row>
    <row r="189" spans="8:8" ht="13.2" x14ac:dyDescent="0.25">
      <c r="H189" s="150"/>
    </row>
    <row r="190" spans="8:8" ht="13.2" x14ac:dyDescent="0.25">
      <c r="H190" s="150"/>
    </row>
    <row r="191" spans="8:8" ht="13.2" x14ac:dyDescent="0.25">
      <c r="H191" s="150"/>
    </row>
    <row r="192" spans="8:8" ht="13.2" x14ac:dyDescent="0.25">
      <c r="H192" s="150"/>
    </row>
    <row r="193" spans="8:8" ht="13.2" x14ac:dyDescent="0.25">
      <c r="H193" s="150"/>
    </row>
    <row r="194" spans="8:8" ht="13.2" x14ac:dyDescent="0.25">
      <c r="H194" s="150"/>
    </row>
    <row r="195" spans="8:8" ht="13.2" x14ac:dyDescent="0.25">
      <c r="H195" s="150"/>
    </row>
    <row r="196" spans="8:8" ht="13.2" x14ac:dyDescent="0.25">
      <c r="H196" s="150"/>
    </row>
    <row r="197" spans="8:8" ht="13.2" x14ac:dyDescent="0.25">
      <c r="H197" s="150"/>
    </row>
    <row r="198" spans="8:8" ht="13.2" x14ac:dyDescent="0.25">
      <c r="H198" s="150"/>
    </row>
    <row r="199" spans="8:8" ht="13.2" x14ac:dyDescent="0.25">
      <c r="H199" s="150"/>
    </row>
    <row r="200" spans="8:8" ht="13.2" x14ac:dyDescent="0.25">
      <c r="H200" s="150"/>
    </row>
    <row r="201" spans="8:8" ht="13.2" x14ac:dyDescent="0.25">
      <c r="H201" s="150"/>
    </row>
    <row r="202" spans="8:8" ht="13.2" x14ac:dyDescent="0.25">
      <c r="H202" s="150"/>
    </row>
    <row r="203" spans="8:8" ht="13.2" x14ac:dyDescent="0.25">
      <c r="H203" s="150"/>
    </row>
    <row r="204" spans="8:8" ht="13.2" x14ac:dyDescent="0.25">
      <c r="H204" s="150"/>
    </row>
    <row r="205" spans="8:8" ht="13.2" x14ac:dyDescent="0.25">
      <c r="H205" s="150"/>
    </row>
    <row r="206" spans="8:8" ht="13.2" x14ac:dyDescent="0.25">
      <c r="H206" s="150"/>
    </row>
    <row r="207" spans="8:8" ht="13.2" x14ac:dyDescent="0.25">
      <c r="H207" s="150"/>
    </row>
    <row r="208" spans="8:8" ht="13.2" x14ac:dyDescent="0.25">
      <c r="H208" s="150"/>
    </row>
    <row r="209" spans="8:8" ht="13.2" x14ac:dyDescent="0.25">
      <c r="H209" s="150"/>
    </row>
    <row r="210" spans="8:8" ht="13.2" x14ac:dyDescent="0.25">
      <c r="H210" s="150"/>
    </row>
    <row r="211" spans="8:8" ht="13.2" x14ac:dyDescent="0.25">
      <c r="H211" s="150"/>
    </row>
    <row r="212" spans="8:8" ht="13.2" x14ac:dyDescent="0.25">
      <c r="H212" s="150"/>
    </row>
    <row r="213" spans="8:8" ht="13.2" x14ac:dyDescent="0.25">
      <c r="H213" s="150"/>
    </row>
    <row r="214" spans="8:8" ht="13.2" x14ac:dyDescent="0.25">
      <c r="H214" s="150"/>
    </row>
    <row r="215" spans="8:8" ht="13.2" x14ac:dyDescent="0.25">
      <c r="H215" s="150"/>
    </row>
    <row r="216" spans="8:8" ht="13.2" x14ac:dyDescent="0.25">
      <c r="H216" s="150"/>
    </row>
    <row r="217" spans="8:8" ht="13.2" x14ac:dyDescent="0.25">
      <c r="H217" s="150"/>
    </row>
    <row r="218" spans="8:8" ht="13.2" x14ac:dyDescent="0.25">
      <c r="H218" s="150"/>
    </row>
    <row r="219" spans="8:8" ht="13.2" x14ac:dyDescent="0.25">
      <c r="H219" s="150"/>
    </row>
    <row r="220" spans="8:8" ht="13.2" x14ac:dyDescent="0.25">
      <c r="H220" s="150"/>
    </row>
    <row r="221" spans="8:8" ht="13.2" x14ac:dyDescent="0.25">
      <c r="H221" s="150"/>
    </row>
    <row r="222" spans="8:8" ht="13.2" x14ac:dyDescent="0.25">
      <c r="H222" s="150"/>
    </row>
    <row r="223" spans="8:8" ht="13.2" x14ac:dyDescent="0.25">
      <c r="H223" s="150"/>
    </row>
    <row r="224" spans="8:8" ht="13.2" x14ac:dyDescent="0.25">
      <c r="H224" s="150"/>
    </row>
    <row r="225" spans="8:8" ht="13.2" x14ac:dyDescent="0.25">
      <c r="H225" s="150"/>
    </row>
    <row r="226" spans="8:8" ht="13.2" x14ac:dyDescent="0.25">
      <c r="H226" s="150"/>
    </row>
    <row r="227" spans="8:8" ht="13.2" x14ac:dyDescent="0.25">
      <c r="H227" s="150"/>
    </row>
    <row r="228" spans="8:8" ht="13.2" x14ac:dyDescent="0.25">
      <c r="H228" s="150"/>
    </row>
    <row r="229" spans="8:8" ht="13.2" x14ac:dyDescent="0.25">
      <c r="H229" s="150"/>
    </row>
    <row r="230" spans="8:8" ht="13.2" x14ac:dyDescent="0.25">
      <c r="H230" s="150"/>
    </row>
    <row r="231" spans="8:8" ht="13.2" x14ac:dyDescent="0.25">
      <c r="H231" s="150"/>
    </row>
    <row r="232" spans="8:8" ht="13.2" x14ac:dyDescent="0.25">
      <c r="H232" s="150"/>
    </row>
    <row r="233" spans="8:8" ht="13.2" x14ac:dyDescent="0.25">
      <c r="H233" s="150"/>
    </row>
    <row r="234" spans="8:8" ht="13.2" x14ac:dyDescent="0.25">
      <c r="H234" s="150"/>
    </row>
    <row r="235" spans="8:8" ht="13.2" x14ac:dyDescent="0.25">
      <c r="H235" s="150"/>
    </row>
    <row r="236" spans="8:8" ht="13.2" x14ac:dyDescent="0.25">
      <c r="H236" s="150"/>
    </row>
    <row r="237" spans="8:8" ht="13.2" x14ac:dyDescent="0.25">
      <c r="H237" s="150"/>
    </row>
    <row r="238" spans="8:8" ht="13.2" x14ac:dyDescent="0.25">
      <c r="H238" s="150"/>
    </row>
    <row r="239" spans="8:8" ht="13.2" x14ac:dyDescent="0.25">
      <c r="H239" s="150"/>
    </row>
    <row r="240" spans="8:8" ht="13.2" x14ac:dyDescent="0.25">
      <c r="H240" s="150"/>
    </row>
    <row r="241" spans="8:8" ht="13.2" x14ac:dyDescent="0.25">
      <c r="H241" s="150"/>
    </row>
    <row r="242" spans="8:8" ht="13.2" x14ac:dyDescent="0.25">
      <c r="H242" s="150"/>
    </row>
    <row r="243" spans="8:8" ht="13.2" x14ac:dyDescent="0.25">
      <c r="H243" s="150"/>
    </row>
    <row r="244" spans="8:8" ht="13.2" x14ac:dyDescent="0.25">
      <c r="H244" s="150"/>
    </row>
    <row r="245" spans="8:8" ht="13.2" x14ac:dyDescent="0.25">
      <c r="H245" s="150"/>
    </row>
    <row r="246" spans="8:8" ht="13.2" x14ac:dyDescent="0.25">
      <c r="H246" s="150"/>
    </row>
    <row r="247" spans="8:8" ht="13.2" x14ac:dyDescent="0.25">
      <c r="H247" s="150"/>
    </row>
    <row r="248" spans="8:8" ht="13.2" x14ac:dyDescent="0.25">
      <c r="H248" s="150"/>
    </row>
    <row r="249" spans="8:8" ht="13.2" x14ac:dyDescent="0.25">
      <c r="H249" s="150"/>
    </row>
    <row r="250" spans="8:8" ht="13.2" x14ac:dyDescent="0.25">
      <c r="H250" s="150"/>
    </row>
    <row r="251" spans="8:8" ht="13.2" x14ac:dyDescent="0.25">
      <c r="H251" s="150"/>
    </row>
    <row r="252" spans="8:8" ht="13.2" x14ac:dyDescent="0.25">
      <c r="H252" s="150"/>
    </row>
    <row r="253" spans="8:8" ht="13.2" x14ac:dyDescent="0.25">
      <c r="H253" s="150"/>
    </row>
    <row r="254" spans="8:8" ht="13.2" x14ac:dyDescent="0.25">
      <c r="H254" s="150"/>
    </row>
    <row r="255" spans="8:8" ht="13.2" x14ac:dyDescent="0.25">
      <c r="H255" s="150"/>
    </row>
    <row r="256" spans="8:8" ht="13.2" x14ac:dyDescent="0.25">
      <c r="H256" s="150"/>
    </row>
    <row r="257" spans="8:8" ht="13.2" x14ac:dyDescent="0.25">
      <c r="H257" s="150"/>
    </row>
    <row r="258" spans="8:8" ht="13.2" x14ac:dyDescent="0.25">
      <c r="H258" s="150"/>
    </row>
    <row r="259" spans="8:8" ht="13.2" x14ac:dyDescent="0.25">
      <c r="H259" s="150"/>
    </row>
    <row r="260" spans="8:8" ht="13.2" x14ac:dyDescent="0.25">
      <c r="H260" s="150"/>
    </row>
    <row r="261" spans="8:8" ht="13.2" x14ac:dyDescent="0.25">
      <c r="H261" s="150"/>
    </row>
    <row r="262" spans="8:8" ht="13.2" x14ac:dyDescent="0.25">
      <c r="H262" s="150"/>
    </row>
    <row r="263" spans="8:8" ht="13.2" x14ac:dyDescent="0.25">
      <c r="H263" s="150"/>
    </row>
    <row r="264" spans="8:8" ht="13.2" x14ac:dyDescent="0.25">
      <c r="H264" s="150"/>
    </row>
    <row r="265" spans="8:8" ht="13.2" x14ac:dyDescent="0.25">
      <c r="H265" s="150"/>
    </row>
    <row r="266" spans="8:8" ht="13.2" x14ac:dyDescent="0.25">
      <c r="H266" s="150"/>
    </row>
    <row r="267" spans="8:8" ht="13.2" x14ac:dyDescent="0.25">
      <c r="H267" s="150"/>
    </row>
    <row r="268" spans="8:8" ht="13.2" x14ac:dyDescent="0.25">
      <c r="H268" s="150"/>
    </row>
    <row r="269" spans="8:8" ht="13.2" x14ac:dyDescent="0.25">
      <c r="H269" s="150"/>
    </row>
    <row r="270" spans="8:8" ht="13.2" x14ac:dyDescent="0.25">
      <c r="H270" s="150"/>
    </row>
    <row r="271" spans="8:8" ht="13.2" x14ac:dyDescent="0.25">
      <c r="H271" s="150"/>
    </row>
    <row r="272" spans="8:8" ht="13.2" x14ac:dyDescent="0.25">
      <c r="H272" s="150"/>
    </row>
    <row r="273" spans="8:8" ht="13.2" x14ac:dyDescent="0.25">
      <c r="H273" s="150"/>
    </row>
    <row r="274" spans="8:8" ht="13.2" x14ac:dyDescent="0.25">
      <c r="H274" s="150"/>
    </row>
    <row r="275" spans="8:8" ht="13.2" x14ac:dyDescent="0.25">
      <c r="H275" s="150"/>
    </row>
    <row r="276" spans="8:8" ht="13.2" x14ac:dyDescent="0.25">
      <c r="H276" s="150"/>
    </row>
    <row r="277" spans="8:8" ht="13.2" x14ac:dyDescent="0.25">
      <c r="H277" s="150"/>
    </row>
    <row r="278" spans="8:8" ht="13.2" x14ac:dyDescent="0.25">
      <c r="H278" s="150"/>
    </row>
    <row r="279" spans="8:8" ht="13.2" x14ac:dyDescent="0.25">
      <c r="H279" s="150"/>
    </row>
    <row r="280" spans="8:8" ht="13.2" x14ac:dyDescent="0.25">
      <c r="H280" s="150"/>
    </row>
    <row r="281" spans="8:8" ht="13.2" x14ac:dyDescent="0.25">
      <c r="H281" s="150"/>
    </row>
    <row r="282" spans="8:8" ht="13.2" x14ac:dyDescent="0.25">
      <c r="H282" s="150"/>
    </row>
    <row r="283" spans="8:8" ht="13.2" x14ac:dyDescent="0.25">
      <c r="H283" s="150"/>
    </row>
    <row r="284" spans="8:8" ht="13.2" x14ac:dyDescent="0.25">
      <c r="H284" s="150"/>
    </row>
    <row r="285" spans="8:8" ht="13.2" x14ac:dyDescent="0.25">
      <c r="H285" s="150"/>
    </row>
    <row r="286" spans="8:8" ht="13.2" x14ac:dyDescent="0.25">
      <c r="H286" s="150"/>
    </row>
    <row r="287" spans="8:8" ht="13.2" x14ac:dyDescent="0.25">
      <c r="H287" s="150"/>
    </row>
    <row r="288" spans="8:8" ht="13.2" x14ac:dyDescent="0.25">
      <c r="H288" s="150"/>
    </row>
    <row r="289" spans="8:8" ht="13.2" x14ac:dyDescent="0.25">
      <c r="H289" s="150"/>
    </row>
    <row r="290" spans="8:8" ht="13.2" x14ac:dyDescent="0.25">
      <c r="H290" s="150"/>
    </row>
    <row r="291" spans="8:8" ht="13.2" x14ac:dyDescent="0.25">
      <c r="H291" s="150"/>
    </row>
    <row r="292" spans="8:8" ht="13.2" x14ac:dyDescent="0.25">
      <c r="H292" s="150"/>
    </row>
    <row r="293" spans="8:8" ht="13.2" x14ac:dyDescent="0.25">
      <c r="H293" s="150"/>
    </row>
    <row r="294" spans="8:8" ht="13.2" x14ac:dyDescent="0.25">
      <c r="H294" s="150"/>
    </row>
    <row r="295" spans="8:8" ht="13.2" x14ac:dyDescent="0.25">
      <c r="H295" s="150"/>
    </row>
    <row r="296" spans="8:8" ht="13.2" x14ac:dyDescent="0.25">
      <c r="H296" s="150"/>
    </row>
    <row r="297" spans="8:8" ht="13.2" x14ac:dyDescent="0.25">
      <c r="H297" s="150"/>
    </row>
    <row r="298" spans="8:8" ht="13.2" x14ac:dyDescent="0.25">
      <c r="H298" s="150"/>
    </row>
    <row r="299" spans="8:8" ht="13.2" x14ac:dyDescent="0.25">
      <c r="H299" s="150"/>
    </row>
    <row r="300" spans="8:8" ht="13.2" x14ac:dyDescent="0.25">
      <c r="H300" s="150"/>
    </row>
    <row r="301" spans="8:8" ht="13.2" x14ac:dyDescent="0.25">
      <c r="H301" s="150"/>
    </row>
    <row r="302" spans="8:8" ht="13.2" x14ac:dyDescent="0.25">
      <c r="H302" s="150"/>
    </row>
    <row r="303" spans="8:8" ht="13.2" x14ac:dyDescent="0.25">
      <c r="H303" s="150"/>
    </row>
    <row r="304" spans="8:8" ht="13.2" x14ac:dyDescent="0.25">
      <c r="H304" s="150"/>
    </row>
    <row r="305" spans="8:8" ht="13.2" x14ac:dyDescent="0.25">
      <c r="H305" s="150"/>
    </row>
    <row r="306" spans="8:8" ht="13.2" x14ac:dyDescent="0.25">
      <c r="H306" s="150"/>
    </row>
    <row r="307" spans="8:8" ht="13.2" x14ac:dyDescent="0.25">
      <c r="H307" s="150"/>
    </row>
    <row r="308" spans="8:8" ht="13.2" x14ac:dyDescent="0.25">
      <c r="H308" s="150"/>
    </row>
    <row r="309" spans="8:8" ht="13.2" x14ac:dyDescent="0.25">
      <c r="H309" s="150"/>
    </row>
    <row r="310" spans="8:8" ht="13.2" x14ac:dyDescent="0.25">
      <c r="H310" s="150"/>
    </row>
    <row r="311" spans="8:8" ht="13.2" x14ac:dyDescent="0.25">
      <c r="H311" s="150"/>
    </row>
    <row r="312" spans="8:8" ht="13.2" x14ac:dyDescent="0.25">
      <c r="H312" s="150"/>
    </row>
    <row r="313" spans="8:8" ht="13.2" x14ac:dyDescent="0.25">
      <c r="H313" s="150"/>
    </row>
    <row r="314" spans="8:8" ht="13.2" x14ac:dyDescent="0.25">
      <c r="H314" s="150"/>
    </row>
    <row r="315" spans="8:8" ht="13.2" x14ac:dyDescent="0.25">
      <c r="H315" s="150"/>
    </row>
    <row r="316" spans="8:8" ht="13.2" x14ac:dyDescent="0.25">
      <c r="H316" s="150"/>
    </row>
    <row r="317" spans="8:8" ht="13.2" x14ac:dyDescent="0.25">
      <c r="H317" s="150"/>
    </row>
    <row r="318" spans="8:8" ht="13.2" x14ac:dyDescent="0.25">
      <c r="H318" s="150"/>
    </row>
    <row r="319" spans="8:8" ht="13.2" x14ac:dyDescent="0.25">
      <c r="H319" s="150"/>
    </row>
    <row r="320" spans="8:8" ht="13.2" x14ac:dyDescent="0.25">
      <c r="H320" s="150"/>
    </row>
    <row r="321" spans="8:8" ht="13.2" x14ac:dyDescent="0.25">
      <c r="H321" s="150"/>
    </row>
    <row r="322" spans="8:8" ht="13.2" x14ac:dyDescent="0.25">
      <c r="H322" s="150"/>
    </row>
    <row r="323" spans="8:8" ht="13.2" x14ac:dyDescent="0.25">
      <c r="H323" s="150"/>
    </row>
    <row r="324" spans="8:8" ht="13.2" x14ac:dyDescent="0.25">
      <c r="H324" s="150"/>
    </row>
    <row r="325" spans="8:8" ht="13.2" x14ac:dyDescent="0.25">
      <c r="H325" s="150"/>
    </row>
    <row r="326" spans="8:8" ht="13.2" x14ac:dyDescent="0.25">
      <c r="H326" s="150"/>
    </row>
    <row r="327" spans="8:8" ht="13.2" x14ac:dyDescent="0.25">
      <c r="H327" s="150"/>
    </row>
    <row r="328" spans="8:8" ht="13.2" x14ac:dyDescent="0.25">
      <c r="H328" s="150"/>
    </row>
    <row r="329" spans="8:8" ht="13.2" x14ac:dyDescent="0.25">
      <c r="H329" s="150"/>
    </row>
    <row r="330" spans="8:8" ht="13.2" x14ac:dyDescent="0.25">
      <c r="H330" s="150"/>
    </row>
    <row r="331" spans="8:8" ht="13.2" x14ac:dyDescent="0.25">
      <c r="H331" s="150"/>
    </row>
    <row r="332" spans="8:8" ht="13.2" x14ac:dyDescent="0.25">
      <c r="H332" s="150"/>
    </row>
    <row r="333" spans="8:8" ht="13.2" x14ac:dyDescent="0.25">
      <c r="H333" s="150"/>
    </row>
    <row r="334" spans="8:8" ht="13.2" x14ac:dyDescent="0.25">
      <c r="H334" s="150"/>
    </row>
    <row r="335" spans="8:8" ht="13.2" x14ac:dyDescent="0.25">
      <c r="H335" s="150"/>
    </row>
    <row r="336" spans="8:8" ht="13.2" x14ac:dyDescent="0.25">
      <c r="H336" s="150"/>
    </row>
    <row r="337" spans="8:8" ht="13.2" x14ac:dyDescent="0.25">
      <c r="H337" s="150"/>
    </row>
    <row r="338" spans="8:8" ht="13.2" x14ac:dyDescent="0.25">
      <c r="H338" s="150"/>
    </row>
    <row r="339" spans="8:8" ht="13.2" x14ac:dyDescent="0.25">
      <c r="H339" s="150"/>
    </row>
    <row r="340" spans="8:8" ht="13.2" x14ac:dyDescent="0.25">
      <c r="H340" s="150"/>
    </row>
    <row r="341" spans="8:8" ht="13.2" x14ac:dyDescent="0.25">
      <c r="H341" s="150"/>
    </row>
    <row r="342" spans="8:8" ht="13.2" x14ac:dyDescent="0.25">
      <c r="H342" s="150"/>
    </row>
    <row r="343" spans="8:8" ht="13.2" x14ac:dyDescent="0.25">
      <c r="H343" s="150"/>
    </row>
    <row r="344" spans="8:8" ht="13.2" x14ac:dyDescent="0.25">
      <c r="H344" s="150"/>
    </row>
    <row r="345" spans="8:8" ht="13.2" x14ac:dyDescent="0.25">
      <c r="H345" s="150"/>
    </row>
    <row r="346" spans="8:8" ht="13.2" x14ac:dyDescent="0.25">
      <c r="H346" s="150"/>
    </row>
    <row r="347" spans="8:8" ht="13.2" x14ac:dyDescent="0.25">
      <c r="H347" s="150"/>
    </row>
    <row r="348" spans="8:8" ht="13.2" x14ac:dyDescent="0.25">
      <c r="H348" s="150"/>
    </row>
    <row r="349" spans="8:8" ht="13.2" x14ac:dyDescent="0.25">
      <c r="H349" s="150"/>
    </row>
    <row r="350" spans="8:8" ht="13.2" x14ac:dyDescent="0.25">
      <c r="H350" s="150"/>
    </row>
    <row r="351" spans="8:8" ht="13.2" x14ac:dyDescent="0.25">
      <c r="H351" s="150"/>
    </row>
    <row r="352" spans="8:8" ht="13.2" x14ac:dyDescent="0.25">
      <c r="H352" s="150"/>
    </row>
    <row r="353" spans="8:8" ht="13.2" x14ac:dyDescent="0.25">
      <c r="H353" s="150"/>
    </row>
    <row r="354" spans="8:8" ht="13.2" x14ac:dyDescent="0.25">
      <c r="H354" s="150"/>
    </row>
    <row r="355" spans="8:8" ht="13.2" x14ac:dyDescent="0.25">
      <c r="H355" s="150"/>
    </row>
    <row r="356" spans="8:8" ht="13.2" x14ac:dyDescent="0.25">
      <c r="H356" s="150"/>
    </row>
    <row r="357" spans="8:8" ht="13.2" x14ac:dyDescent="0.25">
      <c r="H357" s="150"/>
    </row>
    <row r="358" spans="8:8" ht="13.2" x14ac:dyDescent="0.25">
      <c r="H358" s="150"/>
    </row>
    <row r="359" spans="8:8" ht="13.2" x14ac:dyDescent="0.25">
      <c r="H359" s="150"/>
    </row>
    <row r="360" spans="8:8" ht="13.2" x14ac:dyDescent="0.25">
      <c r="H360" s="150"/>
    </row>
    <row r="361" spans="8:8" ht="13.2" x14ac:dyDescent="0.25">
      <c r="H361" s="150"/>
    </row>
    <row r="362" spans="8:8" ht="13.2" x14ac:dyDescent="0.25">
      <c r="H362" s="150"/>
    </row>
    <row r="363" spans="8:8" ht="13.2" x14ac:dyDescent="0.25">
      <c r="H363" s="150"/>
    </row>
    <row r="364" spans="8:8" ht="13.2" x14ac:dyDescent="0.25">
      <c r="H364" s="150"/>
    </row>
    <row r="365" spans="8:8" ht="13.2" x14ac:dyDescent="0.25">
      <c r="H365" s="150"/>
    </row>
    <row r="366" spans="8:8" ht="13.2" x14ac:dyDescent="0.25">
      <c r="H366" s="150"/>
    </row>
    <row r="367" spans="8:8" ht="13.2" x14ac:dyDescent="0.25">
      <c r="H367" s="150"/>
    </row>
    <row r="368" spans="8:8" ht="13.2" x14ac:dyDescent="0.25">
      <c r="H368" s="150"/>
    </row>
    <row r="369" spans="8:8" ht="13.2" x14ac:dyDescent="0.25">
      <c r="H369" s="150"/>
    </row>
    <row r="370" spans="8:8" ht="13.2" x14ac:dyDescent="0.25">
      <c r="H370" s="150"/>
    </row>
    <row r="371" spans="8:8" ht="13.2" x14ac:dyDescent="0.25">
      <c r="H371" s="150"/>
    </row>
    <row r="372" spans="8:8" ht="13.2" x14ac:dyDescent="0.25">
      <c r="H372" s="150"/>
    </row>
    <row r="373" spans="8:8" ht="13.2" x14ac:dyDescent="0.25">
      <c r="H373" s="150"/>
    </row>
    <row r="374" spans="8:8" ht="13.2" x14ac:dyDescent="0.25">
      <c r="H374" s="150"/>
    </row>
    <row r="375" spans="8:8" ht="13.2" x14ac:dyDescent="0.25">
      <c r="H375" s="150"/>
    </row>
    <row r="376" spans="8:8" ht="13.2" x14ac:dyDescent="0.25">
      <c r="H376" s="150"/>
    </row>
    <row r="377" spans="8:8" ht="13.2" x14ac:dyDescent="0.25">
      <c r="H377" s="150"/>
    </row>
    <row r="378" spans="8:8" ht="13.2" x14ac:dyDescent="0.25">
      <c r="H378" s="150"/>
    </row>
    <row r="379" spans="8:8" ht="13.2" x14ac:dyDescent="0.25">
      <c r="H379" s="150"/>
    </row>
    <row r="380" spans="8:8" ht="13.2" x14ac:dyDescent="0.25">
      <c r="H380" s="150"/>
    </row>
    <row r="381" spans="8:8" ht="13.2" x14ac:dyDescent="0.25">
      <c r="H381" s="150"/>
    </row>
    <row r="382" spans="8:8" ht="13.2" x14ac:dyDescent="0.25">
      <c r="H382" s="150"/>
    </row>
    <row r="383" spans="8:8" ht="13.2" x14ac:dyDescent="0.25">
      <c r="H383" s="150"/>
    </row>
    <row r="384" spans="8:8" ht="13.2" x14ac:dyDescent="0.25">
      <c r="H384" s="150"/>
    </row>
    <row r="385" spans="8:8" ht="13.2" x14ac:dyDescent="0.25">
      <c r="H385" s="150"/>
    </row>
    <row r="386" spans="8:8" ht="13.2" x14ac:dyDescent="0.25">
      <c r="H386" s="150"/>
    </row>
    <row r="387" spans="8:8" ht="13.2" x14ac:dyDescent="0.25">
      <c r="H387" s="150"/>
    </row>
    <row r="388" spans="8:8" ht="13.2" x14ac:dyDescent="0.25">
      <c r="H388" s="150"/>
    </row>
    <row r="389" spans="8:8" ht="13.2" x14ac:dyDescent="0.25">
      <c r="H389" s="150"/>
    </row>
    <row r="390" spans="8:8" ht="13.2" x14ac:dyDescent="0.25">
      <c r="H390" s="150"/>
    </row>
    <row r="391" spans="8:8" ht="13.2" x14ac:dyDescent="0.25">
      <c r="H391" s="150"/>
    </row>
    <row r="392" spans="8:8" ht="13.2" x14ac:dyDescent="0.25">
      <c r="H392" s="150"/>
    </row>
    <row r="393" spans="8:8" ht="13.2" x14ac:dyDescent="0.25">
      <c r="H393" s="150"/>
    </row>
    <row r="394" spans="8:8" ht="13.2" x14ac:dyDescent="0.25">
      <c r="H394" s="150"/>
    </row>
    <row r="395" spans="8:8" ht="13.2" x14ac:dyDescent="0.25">
      <c r="H395" s="150"/>
    </row>
    <row r="396" spans="8:8" ht="13.2" x14ac:dyDescent="0.25">
      <c r="H396" s="150"/>
    </row>
    <row r="397" spans="8:8" ht="13.2" x14ac:dyDescent="0.25">
      <c r="H397" s="150"/>
    </row>
    <row r="398" spans="8:8" ht="13.2" x14ac:dyDescent="0.25">
      <c r="H398" s="150"/>
    </row>
    <row r="399" spans="8:8" ht="13.2" x14ac:dyDescent="0.25">
      <c r="H399" s="150"/>
    </row>
    <row r="400" spans="8:8" ht="13.2" x14ac:dyDescent="0.25">
      <c r="H400" s="150"/>
    </row>
    <row r="401" spans="8:8" ht="13.2" x14ac:dyDescent="0.25">
      <c r="H401" s="150"/>
    </row>
    <row r="402" spans="8:8" ht="13.2" x14ac:dyDescent="0.25">
      <c r="H402" s="150"/>
    </row>
    <row r="403" spans="8:8" ht="13.2" x14ac:dyDescent="0.25">
      <c r="H403" s="150"/>
    </row>
    <row r="404" spans="8:8" ht="13.2" x14ac:dyDescent="0.25">
      <c r="H404" s="150"/>
    </row>
    <row r="405" spans="8:8" ht="13.2" x14ac:dyDescent="0.25">
      <c r="H405" s="150"/>
    </row>
    <row r="406" spans="8:8" ht="13.2" x14ac:dyDescent="0.25">
      <c r="H406" s="150"/>
    </row>
    <row r="407" spans="8:8" ht="13.2" x14ac:dyDescent="0.25">
      <c r="H407" s="150"/>
    </row>
    <row r="408" spans="8:8" ht="13.2" x14ac:dyDescent="0.25">
      <c r="H408" s="150"/>
    </row>
    <row r="409" spans="8:8" ht="13.2" x14ac:dyDescent="0.25">
      <c r="H409" s="150"/>
    </row>
    <row r="410" spans="8:8" ht="13.2" x14ac:dyDescent="0.25">
      <c r="H410" s="150"/>
    </row>
    <row r="411" spans="8:8" ht="13.2" x14ac:dyDescent="0.25">
      <c r="H411" s="150"/>
    </row>
    <row r="412" spans="8:8" ht="13.2" x14ac:dyDescent="0.25">
      <c r="H412" s="150"/>
    </row>
    <row r="413" spans="8:8" ht="13.2" x14ac:dyDescent="0.25">
      <c r="H413" s="150"/>
    </row>
    <row r="414" spans="8:8" ht="13.2" x14ac:dyDescent="0.25">
      <c r="H414" s="150"/>
    </row>
    <row r="415" spans="8:8" ht="13.2" x14ac:dyDescent="0.25">
      <c r="H415" s="150"/>
    </row>
    <row r="416" spans="8:8" ht="13.2" x14ac:dyDescent="0.25">
      <c r="H416" s="150"/>
    </row>
    <row r="417" spans="8:8" ht="13.2" x14ac:dyDescent="0.25">
      <c r="H417" s="150"/>
    </row>
    <row r="418" spans="8:8" ht="13.2" x14ac:dyDescent="0.25">
      <c r="H418" s="150"/>
    </row>
    <row r="419" spans="8:8" ht="13.2" x14ac:dyDescent="0.25">
      <c r="H419" s="150"/>
    </row>
    <row r="420" spans="8:8" ht="13.2" x14ac:dyDescent="0.25">
      <c r="H420" s="150"/>
    </row>
    <row r="421" spans="8:8" ht="13.2" x14ac:dyDescent="0.25">
      <c r="H421" s="150"/>
    </row>
    <row r="422" spans="8:8" ht="13.2" x14ac:dyDescent="0.25">
      <c r="H422" s="150"/>
    </row>
    <row r="423" spans="8:8" ht="13.2" x14ac:dyDescent="0.25">
      <c r="H423" s="150"/>
    </row>
    <row r="424" spans="8:8" ht="13.2" x14ac:dyDescent="0.25">
      <c r="H424" s="150"/>
    </row>
    <row r="425" spans="8:8" ht="13.2" x14ac:dyDescent="0.25">
      <c r="H425" s="150"/>
    </row>
    <row r="426" spans="8:8" ht="13.2" x14ac:dyDescent="0.25">
      <c r="H426" s="150"/>
    </row>
    <row r="427" spans="8:8" ht="13.2" x14ac:dyDescent="0.25">
      <c r="H427" s="150"/>
    </row>
    <row r="428" spans="8:8" ht="13.2" x14ac:dyDescent="0.25">
      <c r="H428" s="150"/>
    </row>
    <row r="429" spans="8:8" ht="13.2" x14ac:dyDescent="0.25">
      <c r="H429" s="150"/>
    </row>
    <row r="430" spans="8:8" ht="13.2" x14ac:dyDescent="0.25">
      <c r="H430" s="150"/>
    </row>
    <row r="431" spans="8:8" ht="13.2" x14ac:dyDescent="0.25">
      <c r="H431" s="150"/>
    </row>
    <row r="432" spans="8:8" ht="13.2" x14ac:dyDescent="0.25">
      <c r="H432" s="150"/>
    </row>
    <row r="433" spans="8:8" ht="13.2" x14ac:dyDescent="0.25">
      <c r="H433" s="150"/>
    </row>
    <row r="434" spans="8:8" ht="13.2" x14ac:dyDescent="0.25">
      <c r="H434" s="150"/>
    </row>
    <row r="435" spans="8:8" ht="13.2" x14ac:dyDescent="0.25">
      <c r="H435" s="150"/>
    </row>
    <row r="436" spans="8:8" ht="13.2" x14ac:dyDescent="0.25">
      <c r="H436" s="150"/>
    </row>
    <row r="437" spans="8:8" ht="13.2" x14ac:dyDescent="0.25">
      <c r="H437" s="150"/>
    </row>
    <row r="438" spans="8:8" ht="13.2" x14ac:dyDescent="0.25">
      <c r="H438" s="150"/>
    </row>
    <row r="439" spans="8:8" ht="13.2" x14ac:dyDescent="0.25">
      <c r="H439" s="150"/>
    </row>
    <row r="440" spans="8:8" ht="13.2" x14ac:dyDescent="0.25">
      <c r="H440" s="150"/>
    </row>
    <row r="441" spans="8:8" ht="13.2" x14ac:dyDescent="0.25">
      <c r="H441" s="150"/>
    </row>
    <row r="442" spans="8:8" ht="13.2" x14ac:dyDescent="0.25">
      <c r="H442" s="150"/>
    </row>
    <row r="443" spans="8:8" ht="13.2" x14ac:dyDescent="0.25">
      <c r="H443" s="150"/>
    </row>
    <row r="444" spans="8:8" ht="13.2" x14ac:dyDescent="0.25">
      <c r="H444" s="150"/>
    </row>
    <row r="445" spans="8:8" ht="13.2" x14ac:dyDescent="0.25">
      <c r="H445" s="150"/>
    </row>
    <row r="446" spans="8:8" ht="13.2" x14ac:dyDescent="0.25">
      <c r="H446" s="150"/>
    </row>
    <row r="447" spans="8:8" ht="13.2" x14ac:dyDescent="0.25">
      <c r="H447" s="150"/>
    </row>
    <row r="448" spans="8:8" ht="13.2" x14ac:dyDescent="0.25">
      <c r="H448" s="150"/>
    </row>
    <row r="449" spans="8:8" ht="13.2" x14ac:dyDescent="0.25">
      <c r="H449" s="150"/>
    </row>
    <row r="450" spans="8:8" ht="13.2" x14ac:dyDescent="0.25">
      <c r="H450" s="150"/>
    </row>
    <row r="451" spans="8:8" ht="13.2" x14ac:dyDescent="0.25">
      <c r="H451" s="150"/>
    </row>
    <row r="452" spans="8:8" ht="13.2" x14ac:dyDescent="0.25">
      <c r="H452" s="150"/>
    </row>
    <row r="453" spans="8:8" ht="13.2" x14ac:dyDescent="0.25">
      <c r="H453" s="150"/>
    </row>
    <row r="454" spans="8:8" ht="13.2" x14ac:dyDescent="0.25">
      <c r="H454" s="150"/>
    </row>
    <row r="455" spans="8:8" ht="13.2" x14ac:dyDescent="0.25">
      <c r="H455" s="150"/>
    </row>
    <row r="456" spans="8:8" ht="13.2" x14ac:dyDescent="0.25">
      <c r="H456" s="150"/>
    </row>
    <row r="457" spans="8:8" ht="13.2" x14ac:dyDescent="0.25">
      <c r="H457" s="150"/>
    </row>
    <row r="458" spans="8:8" ht="13.2" x14ac:dyDescent="0.25">
      <c r="H458" s="150"/>
    </row>
    <row r="459" spans="8:8" ht="13.2" x14ac:dyDescent="0.25">
      <c r="H459" s="150"/>
    </row>
    <row r="460" spans="8:8" ht="13.2" x14ac:dyDescent="0.25">
      <c r="H460" s="150"/>
    </row>
    <row r="461" spans="8:8" ht="13.2" x14ac:dyDescent="0.25">
      <c r="H461" s="150"/>
    </row>
    <row r="462" spans="8:8" ht="13.2" x14ac:dyDescent="0.25">
      <c r="H462" s="150"/>
    </row>
    <row r="463" spans="8:8" ht="13.2" x14ac:dyDescent="0.25">
      <c r="H463" s="150"/>
    </row>
    <row r="464" spans="8:8" ht="13.2" x14ac:dyDescent="0.25">
      <c r="H464" s="150"/>
    </row>
    <row r="465" spans="8:8" ht="13.2" x14ac:dyDescent="0.25">
      <c r="H465" s="150"/>
    </row>
    <row r="466" spans="8:8" ht="13.2" x14ac:dyDescent="0.25">
      <c r="H466" s="150"/>
    </row>
    <row r="467" spans="8:8" ht="13.2" x14ac:dyDescent="0.25">
      <c r="H467" s="150"/>
    </row>
    <row r="468" spans="8:8" ht="13.2" x14ac:dyDescent="0.25">
      <c r="H468" s="150"/>
    </row>
    <row r="469" spans="8:8" ht="13.2" x14ac:dyDescent="0.25">
      <c r="H469" s="150"/>
    </row>
    <row r="470" spans="8:8" ht="13.2" x14ac:dyDescent="0.25">
      <c r="H470" s="150"/>
    </row>
    <row r="471" spans="8:8" ht="13.2" x14ac:dyDescent="0.25">
      <c r="H471" s="150"/>
    </row>
    <row r="472" spans="8:8" ht="13.2" x14ac:dyDescent="0.25">
      <c r="H472" s="150"/>
    </row>
    <row r="473" spans="8:8" ht="13.2" x14ac:dyDescent="0.25">
      <c r="H473" s="150"/>
    </row>
    <row r="474" spans="8:8" ht="13.2" x14ac:dyDescent="0.25">
      <c r="H474" s="150"/>
    </row>
    <row r="475" spans="8:8" ht="13.2" x14ac:dyDescent="0.25">
      <c r="H475" s="150"/>
    </row>
    <row r="476" spans="8:8" ht="13.2" x14ac:dyDescent="0.25">
      <c r="H476" s="150"/>
    </row>
    <row r="477" spans="8:8" ht="13.2" x14ac:dyDescent="0.25">
      <c r="H477" s="150"/>
    </row>
    <row r="478" spans="8:8" ht="13.2" x14ac:dyDescent="0.25">
      <c r="H478" s="150"/>
    </row>
    <row r="479" spans="8:8" ht="13.2" x14ac:dyDescent="0.25">
      <c r="H479" s="150"/>
    </row>
    <row r="480" spans="8:8" ht="13.2" x14ac:dyDescent="0.25">
      <c r="H480" s="150"/>
    </row>
    <row r="481" spans="8:8" ht="13.2" x14ac:dyDescent="0.25">
      <c r="H481" s="150"/>
    </row>
    <row r="482" spans="8:8" ht="13.2" x14ac:dyDescent="0.25">
      <c r="H482" s="150"/>
    </row>
    <row r="483" spans="8:8" ht="13.2" x14ac:dyDescent="0.25">
      <c r="H483" s="150"/>
    </row>
    <row r="484" spans="8:8" ht="13.2" x14ac:dyDescent="0.25">
      <c r="H484" s="150"/>
    </row>
    <row r="485" spans="8:8" ht="13.2" x14ac:dyDescent="0.25">
      <c r="H485" s="150"/>
    </row>
    <row r="486" spans="8:8" ht="13.2" x14ac:dyDescent="0.25">
      <c r="H486" s="150"/>
    </row>
    <row r="487" spans="8:8" ht="13.2" x14ac:dyDescent="0.25">
      <c r="H487" s="150"/>
    </row>
    <row r="488" spans="8:8" ht="13.2" x14ac:dyDescent="0.25">
      <c r="H488" s="150"/>
    </row>
    <row r="489" spans="8:8" ht="13.2" x14ac:dyDescent="0.25">
      <c r="H489" s="150"/>
    </row>
    <row r="490" spans="8:8" ht="13.2" x14ac:dyDescent="0.25">
      <c r="H490" s="150"/>
    </row>
    <row r="491" spans="8:8" ht="13.2" x14ac:dyDescent="0.25">
      <c r="H491" s="150"/>
    </row>
    <row r="492" spans="8:8" ht="13.2" x14ac:dyDescent="0.25">
      <c r="H492" s="150"/>
    </row>
    <row r="493" spans="8:8" ht="13.2" x14ac:dyDescent="0.25">
      <c r="H493" s="150"/>
    </row>
    <row r="494" spans="8:8" ht="13.2" x14ac:dyDescent="0.25">
      <c r="H494" s="150"/>
    </row>
    <row r="495" spans="8:8" ht="13.2" x14ac:dyDescent="0.25">
      <c r="H495" s="150"/>
    </row>
    <row r="496" spans="8:8" ht="13.2" x14ac:dyDescent="0.25">
      <c r="H496" s="150"/>
    </row>
    <row r="497" spans="8:8" ht="13.2" x14ac:dyDescent="0.25">
      <c r="H497" s="150"/>
    </row>
    <row r="498" spans="8:8" ht="13.2" x14ac:dyDescent="0.25">
      <c r="H498" s="150"/>
    </row>
    <row r="499" spans="8:8" ht="13.2" x14ac:dyDescent="0.25">
      <c r="H499" s="150"/>
    </row>
    <row r="500" spans="8:8" ht="13.2" x14ac:dyDescent="0.25">
      <c r="H500" s="150"/>
    </row>
    <row r="501" spans="8:8" ht="13.2" x14ac:dyDescent="0.25">
      <c r="H501" s="150"/>
    </row>
    <row r="502" spans="8:8" ht="13.2" x14ac:dyDescent="0.25">
      <c r="H502" s="150"/>
    </row>
    <row r="503" spans="8:8" ht="13.2" x14ac:dyDescent="0.25">
      <c r="H503" s="150"/>
    </row>
    <row r="504" spans="8:8" ht="13.2" x14ac:dyDescent="0.25">
      <c r="H504" s="150"/>
    </row>
    <row r="505" spans="8:8" ht="13.2" x14ac:dyDescent="0.25">
      <c r="H505" s="150"/>
    </row>
    <row r="506" spans="8:8" ht="13.2" x14ac:dyDescent="0.25">
      <c r="H506" s="150"/>
    </row>
    <row r="507" spans="8:8" ht="13.2" x14ac:dyDescent="0.25">
      <c r="H507" s="150"/>
    </row>
    <row r="508" spans="8:8" ht="13.2" x14ac:dyDescent="0.25">
      <c r="H508" s="150"/>
    </row>
    <row r="509" spans="8:8" ht="13.2" x14ac:dyDescent="0.25">
      <c r="H509" s="150"/>
    </row>
    <row r="510" spans="8:8" ht="13.2" x14ac:dyDescent="0.25">
      <c r="H510" s="150"/>
    </row>
    <row r="511" spans="8:8" ht="13.2" x14ac:dyDescent="0.25">
      <c r="H511" s="150"/>
    </row>
    <row r="512" spans="8:8" ht="13.2" x14ac:dyDescent="0.25">
      <c r="H512" s="150"/>
    </row>
    <row r="513" spans="8:8" ht="13.2" x14ac:dyDescent="0.25">
      <c r="H513" s="150"/>
    </row>
    <row r="514" spans="8:8" ht="13.2" x14ac:dyDescent="0.25">
      <c r="H514" s="150"/>
    </row>
    <row r="515" spans="8:8" ht="13.2" x14ac:dyDescent="0.25">
      <c r="H515" s="150"/>
    </row>
    <row r="516" spans="8:8" ht="13.2" x14ac:dyDescent="0.25">
      <c r="H516" s="150"/>
    </row>
    <row r="517" spans="8:8" ht="13.2" x14ac:dyDescent="0.25">
      <c r="H517" s="150"/>
    </row>
    <row r="518" spans="8:8" ht="13.2" x14ac:dyDescent="0.25">
      <c r="H518" s="150"/>
    </row>
    <row r="519" spans="8:8" ht="13.2" x14ac:dyDescent="0.25">
      <c r="H519" s="150"/>
    </row>
    <row r="520" spans="8:8" ht="13.2" x14ac:dyDescent="0.25">
      <c r="H520" s="150"/>
    </row>
    <row r="521" spans="8:8" ht="13.2" x14ac:dyDescent="0.25">
      <c r="H521" s="150"/>
    </row>
    <row r="522" spans="8:8" ht="13.2" x14ac:dyDescent="0.25">
      <c r="H522" s="150"/>
    </row>
    <row r="523" spans="8:8" ht="13.2" x14ac:dyDescent="0.25">
      <c r="H523" s="150"/>
    </row>
    <row r="524" spans="8:8" ht="13.2" x14ac:dyDescent="0.25">
      <c r="H524" s="150"/>
    </row>
    <row r="525" spans="8:8" ht="13.2" x14ac:dyDescent="0.25">
      <c r="H525" s="150"/>
    </row>
    <row r="526" spans="8:8" ht="13.2" x14ac:dyDescent="0.25">
      <c r="H526" s="150"/>
    </row>
    <row r="527" spans="8:8" ht="13.2" x14ac:dyDescent="0.25">
      <c r="H527" s="150"/>
    </row>
    <row r="528" spans="8:8" ht="13.2" x14ac:dyDescent="0.25">
      <c r="H528" s="150"/>
    </row>
    <row r="529" spans="8:8" ht="13.2" x14ac:dyDescent="0.25">
      <c r="H529" s="150"/>
    </row>
    <row r="530" spans="8:8" ht="13.2" x14ac:dyDescent="0.25">
      <c r="H530" s="150"/>
    </row>
    <row r="531" spans="8:8" ht="13.2" x14ac:dyDescent="0.25">
      <c r="H531" s="150"/>
    </row>
    <row r="532" spans="8:8" ht="13.2" x14ac:dyDescent="0.25">
      <c r="H532" s="150"/>
    </row>
    <row r="533" spans="8:8" ht="13.2" x14ac:dyDescent="0.25">
      <c r="H533" s="150"/>
    </row>
    <row r="534" spans="8:8" ht="13.2" x14ac:dyDescent="0.25">
      <c r="H534" s="150"/>
    </row>
    <row r="535" spans="8:8" ht="13.2" x14ac:dyDescent="0.25">
      <c r="H535" s="150"/>
    </row>
    <row r="536" spans="8:8" ht="13.2" x14ac:dyDescent="0.25">
      <c r="H536" s="150"/>
    </row>
    <row r="537" spans="8:8" ht="13.2" x14ac:dyDescent="0.25">
      <c r="H537" s="150"/>
    </row>
    <row r="538" spans="8:8" ht="13.2" x14ac:dyDescent="0.25">
      <c r="H538" s="150"/>
    </row>
    <row r="539" spans="8:8" ht="13.2" x14ac:dyDescent="0.25">
      <c r="H539" s="150"/>
    </row>
    <row r="540" spans="8:8" ht="13.2" x14ac:dyDescent="0.25">
      <c r="H540" s="150"/>
    </row>
    <row r="541" spans="8:8" ht="13.2" x14ac:dyDescent="0.25">
      <c r="H541" s="150"/>
    </row>
    <row r="542" spans="8:8" ht="13.2" x14ac:dyDescent="0.25">
      <c r="H542" s="150"/>
    </row>
    <row r="543" spans="8:8" ht="13.2" x14ac:dyDescent="0.25">
      <c r="H543" s="150"/>
    </row>
    <row r="544" spans="8:8" ht="13.2" x14ac:dyDescent="0.25">
      <c r="H544" s="150"/>
    </row>
    <row r="545" spans="8:8" ht="13.2" x14ac:dyDescent="0.25">
      <c r="H545" s="150"/>
    </row>
    <row r="546" spans="8:8" ht="13.2" x14ac:dyDescent="0.25">
      <c r="H546" s="150"/>
    </row>
    <row r="547" spans="8:8" ht="13.2" x14ac:dyDescent="0.25">
      <c r="H547" s="150"/>
    </row>
    <row r="548" spans="8:8" ht="13.2" x14ac:dyDescent="0.25">
      <c r="H548" s="150"/>
    </row>
    <row r="549" spans="8:8" ht="13.2" x14ac:dyDescent="0.25">
      <c r="H549" s="150"/>
    </row>
    <row r="550" spans="8:8" ht="13.2" x14ac:dyDescent="0.25">
      <c r="H550" s="150"/>
    </row>
    <row r="551" spans="8:8" ht="13.2" x14ac:dyDescent="0.25">
      <c r="H551" s="150"/>
    </row>
    <row r="552" spans="8:8" ht="13.2" x14ac:dyDescent="0.25">
      <c r="H552" s="150"/>
    </row>
    <row r="553" spans="8:8" ht="13.2" x14ac:dyDescent="0.25">
      <c r="H553" s="150"/>
    </row>
    <row r="554" spans="8:8" ht="13.2" x14ac:dyDescent="0.25">
      <c r="H554" s="150"/>
    </row>
    <row r="555" spans="8:8" ht="13.2" x14ac:dyDescent="0.25">
      <c r="H555" s="150"/>
    </row>
    <row r="556" spans="8:8" ht="13.2" x14ac:dyDescent="0.25">
      <c r="H556" s="150"/>
    </row>
    <row r="557" spans="8:8" ht="13.2" x14ac:dyDescent="0.25">
      <c r="H557" s="150"/>
    </row>
    <row r="558" spans="8:8" ht="13.2" x14ac:dyDescent="0.25">
      <c r="H558" s="150"/>
    </row>
    <row r="559" spans="8:8" ht="13.2" x14ac:dyDescent="0.25">
      <c r="H559" s="150"/>
    </row>
    <row r="560" spans="8:8" ht="13.2" x14ac:dyDescent="0.25">
      <c r="H560" s="150"/>
    </row>
    <row r="561" spans="8:8" ht="13.2" x14ac:dyDescent="0.25">
      <c r="H561" s="150"/>
    </row>
    <row r="562" spans="8:8" ht="13.2" x14ac:dyDescent="0.25">
      <c r="H562" s="150"/>
    </row>
    <row r="563" spans="8:8" ht="13.2" x14ac:dyDescent="0.25">
      <c r="H563" s="150"/>
    </row>
    <row r="564" spans="8:8" ht="13.2" x14ac:dyDescent="0.25">
      <c r="H564" s="150"/>
    </row>
    <row r="565" spans="8:8" ht="13.2" x14ac:dyDescent="0.25">
      <c r="H565" s="150"/>
    </row>
    <row r="566" spans="8:8" ht="13.2" x14ac:dyDescent="0.25">
      <c r="H566" s="150"/>
    </row>
    <row r="567" spans="8:8" ht="13.2" x14ac:dyDescent="0.25">
      <c r="H567" s="150"/>
    </row>
    <row r="568" spans="8:8" ht="13.2" x14ac:dyDescent="0.25">
      <c r="H568" s="150"/>
    </row>
    <row r="569" spans="8:8" ht="13.2" x14ac:dyDescent="0.25">
      <c r="H569" s="150"/>
    </row>
    <row r="570" spans="8:8" ht="13.2" x14ac:dyDescent="0.25">
      <c r="H570" s="150"/>
    </row>
    <row r="571" spans="8:8" ht="13.2" x14ac:dyDescent="0.25">
      <c r="H571" s="150"/>
    </row>
    <row r="572" spans="8:8" ht="13.2" x14ac:dyDescent="0.25">
      <c r="H572" s="150"/>
    </row>
    <row r="573" spans="8:8" ht="13.2" x14ac:dyDescent="0.25">
      <c r="H573" s="150"/>
    </row>
    <row r="574" spans="8:8" ht="13.2" x14ac:dyDescent="0.25">
      <c r="H574" s="150"/>
    </row>
    <row r="575" spans="8:8" ht="13.2" x14ac:dyDescent="0.25">
      <c r="H575" s="150"/>
    </row>
    <row r="576" spans="8:8" ht="13.2" x14ac:dyDescent="0.25">
      <c r="H576" s="150"/>
    </row>
    <row r="577" spans="8:8" ht="13.2" x14ac:dyDescent="0.25">
      <c r="H577" s="150"/>
    </row>
    <row r="578" spans="8:8" ht="13.2" x14ac:dyDescent="0.25">
      <c r="H578" s="150"/>
    </row>
    <row r="579" spans="8:8" ht="13.2" x14ac:dyDescent="0.25">
      <c r="H579" s="150"/>
    </row>
    <row r="580" spans="8:8" ht="13.2" x14ac:dyDescent="0.25">
      <c r="H580" s="150"/>
    </row>
    <row r="581" spans="8:8" ht="13.2" x14ac:dyDescent="0.25">
      <c r="H581" s="150"/>
    </row>
    <row r="582" spans="8:8" ht="13.2" x14ac:dyDescent="0.25">
      <c r="H582" s="150"/>
    </row>
    <row r="583" spans="8:8" ht="13.2" x14ac:dyDescent="0.25">
      <c r="H583" s="150"/>
    </row>
    <row r="584" spans="8:8" ht="13.2" x14ac:dyDescent="0.25">
      <c r="H584" s="150"/>
    </row>
    <row r="585" spans="8:8" ht="13.2" x14ac:dyDescent="0.25">
      <c r="H585" s="150"/>
    </row>
    <row r="586" spans="8:8" ht="13.2" x14ac:dyDescent="0.25">
      <c r="H586" s="150"/>
    </row>
    <row r="587" spans="8:8" ht="13.2" x14ac:dyDescent="0.25">
      <c r="H587" s="150"/>
    </row>
    <row r="588" spans="8:8" ht="13.2" x14ac:dyDescent="0.25">
      <c r="H588" s="150"/>
    </row>
    <row r="589" spans="8:8" ht="13.2" x14ac:dyDescent="0.25">
      <c r="H589" s="150"/>
    </row>
    <row r="590" spans="8:8" ht="13.2" x14ac:dyDescent="0.25">
      <c r="H590" s="150"/>
    </row>
    <row r="591" spans="8:8" ht="13.2" x14ac:dyDescent="0.25">
      <c r="H591" s="150"/>
    </row>
    <row r="592" spans="8:8" ht="13.2" x14ac:dyDescent="0.25">
      <c r="H592" s="150"/>
    </row>
    <row r="593" spans="8:8" ht="13.2" x14ac:dyDescent="0.25">
      <c r="H593" s="150"/>
    </row>
    <row r="594" spans="8:8" ht="13.2" x14ac:dyDescent="0.25">
      <c r="H594" s="150"/>
    </row>
    <row r="595" spans="8:8" ht="13.2" x14ac:dyDescent="0.25">
      <c r="H595" s="150"/>
    </row>
    <row r="596" spans="8:8" ht="13.2" x14ac:dyDescent="0.25">
      <c r="H596" s="150"/>
    </row>
    <row r="597" spans="8:8" ht="13.2" x14ac:dyDescent="0.25">
      <c r="H597" s="150"/>
    </row>
    <row r="598" spans="8:8" ht="13.2" x14ac:dyDescent="0.25">
      <c r="H598" s="150"/>
    </row>
    <row r="599" spans="8:8" ht="13.2" x14ac:dyDescent="0.25">
      <c r="H599" s="150"/>
    </row>
    <row r="600" spans="8:8" ht="13.2" x14ac:dyDescent="0.25">
      <c r="H600" s="150"/>
    </row>
    <row r="601" spans="8:8" ht="13.2" x14ac:dyDescent="0.25">
      <c r="H601" s="150"/>
    </row>
    <row r="602" spans="8:8" ht="13.2" x14ac:dyDescent="0.25">
      <c r="H602" s="150"/>
    </row>
    <row r="603" spans="8:8" ht="13.2" x14ac:dyDescent="0.25">
      <c r="H603" s="150"/>
    </row>
    <row r="604" spans="8:8" ht="13.2" x14ac:dyDescent="0.25">
      <c r="H604" s="150"/>
    </row>
    <row r="605" spans="8:8" ht="13.2" x14ac:dyDescent="0.25">
      <c r="H605" s="150"/>
    </row>
    <row r="606" spans="8:8" ht="13.2" x14ac:dyDescent="0.25">
      <c r="H606" s="150"/>
    </row>
    <row r="607" spans="8:8" ht="13.2" x14ac:dyDescent="0.25">
      <c r="H607" s="150"/>
    </row>
    <row r="608" spans="8:8" ht="13.2" x14ac:dyDescent="0.25">
      <c r="H608" s="150"/>
    </row>
    <row r="609" spans="8:8" ht="13.2" x14ac:dyDescent="0.25">
      <c r="H609" s="150"/>
    </row>
    <row r="610" spans="8:8" ht="13.2" x14ac:dyDescent="0.25">
      <c r="H610" s="150"/>
    </row>
    <row r="611" spans="8:8" ht="13.2" x14ac:dyDescent="0.25">
      <c r="H611" s="150"/>
    </row>
    <row r="612" spans="8:8" ht="13.2" x14ac:dyDescent="0.25">
      <c r="H612" s="150"/>
    </row>
    <row r="613" spans="8:8" ht="13.2" x14ac:dyDescent="0.25">
      <c r="H613" s="150"/>
    </row>
    <row r="614" spans="8:8" ht="13.2" x14ac:dyDescent="0.25">
      <c r="H614" s="150"/>
    </row>
    <row r="615" spans="8:8" ht="13.2" x14ac:dyDescent="0.25">
      <c r="H615" s="150"/>
    </row>
    <row r="616" spans="8:8" ht="13.2" x14ac:dyDescent="0.25">
      <c r="H616" s="150"/>
    </row>
    <row r="617" spans="8:8" ht="13.2" x14ac:dyDescent="0.25">
      <c r="H617" s="150"/>
    </row>
    <row r="618" spans="8:8" ht="13.2" x14ac:dyDescent="0.25">
      <c r="H618" s="150"/>
    </row>
    <row r="619" spans="8:8" ht="13.2" x14ac:dyDescent="0.25">
      <c r="H619" s="150"/>
    </row>
    <row r="620" spans="8:8" ht="13.2" x14ac:dyDescent="0.25">
      <c r="H620" s="150"/>
    </row>
    <row r="621" spans="8:8" ht="13.2" x14ac:dyDescent="0.25">
      <c r="H621" s="150"/>
    </row>
    <row r="622" spans="8:8" ht="13.2" x14ac:dyDescent="0.25">
      <c r="H622" s="150"/>
    </row>
    <row r="623" spans="8:8" ht="13.2" x14ac:dyDescent="0.25">
      <c r="H623" s="150"/>
    </row>
    <row r="624" spans="8:8" ht="13.2" x14ac:dyDescent="0.25">
      <c r="H624" s="150"/>
    </row>
    <row r="625" spans="8:8" ht="13.2" x14ac:dyDescent="0.25">
      <c r="H625" s="150"/>
    </row>
    <row r="626" spans="8:8" ht="13.2" x14ac:dyDescent="0.25">
      <c r="H626" s="150"/>
    </row>
    <row r="627" spans="8:8" ht="13.2" x14ac:dyDescent="0.25">
      <c r="H627" s="150"/>
    </row>
    <row r="628" spans="8:8" ht="13.2" x14ac:dyDescent="0.25">
      <c r="H628" s="150"/>
    </row>
    <row r="629" spans="8:8" ht="13.2" x14ac:dyDescent="0.25">
      <c r="H629" s="150"/>
    </row>
    <row r="630" spans="8:8" ht="13.2" x14ac:dyDescent="0.25">
      <c r="H630" s="150"/>
    </row>
    <row r="631" spans="8:8" ht="13.2" x14ac:dyDescent="0.25">
      <c r="H631" s="150"/>
    </row>
    <row r="632" spans="8:8" ht="13.2" x14ac:dyDescent="0.25">
      <c r="H632" s="150"/>
    </row>
    <row r="633" spans="8:8" ht="13.2" x14ac:dyDescent="0.25">
      <c r="H633" s="150"/>
    </row>
    <row r="634" spans="8:8" ht="13.2" x14ac:dyDescent="0.25">
      <c r="H634" s="150"/>
    </row>
    <row r="635" spans="8:8" ht="13.2" x14ac:dyDescent="0.25">
      <c r="H635" s="150"/>
    </row>
    <row r="636" spans="8:8" ht="13.2" x14ac:dyDescent="0.25">
      <c r="H636" s="150"/>
    </row>
    <row r="637" spans="8:8" ht="13.2" x14ac:dyDescent="0.25">
      <c r="H637" s="150"/>
    </row>
    <row r="638" spans="8:8" ht="13.2" x14ac:dyDescent="0.25">
      <c r="H638" s="150"/>
    </row>
    <row r="639" spans="8:8" ht="13.2" x14ac:dyDescent="0.25">
      <c r="H639" s="150"/>
    </row>
    <row r="640" spans="8:8" ht="13.2" x14ac:dyDescent="0.25">
      <c r="H640" s="150"/>
    </row>
    <row r="641" spans="8:8" ht="13.2" x14ac:dyDescent="0.25">
      <c r="H641" s="150"/>
    </row>
    <row r="642" spans="8:8" ht="13.2" x14ac:dyDescent="0.25">
      <c r="H642" s="150"/>
    </row>
    <row r="643" spans="8:8" ht="13.2" x14ac:dyDescent="0.25">
      <c r="H643" s="150"/>
    </row>
    <row r="644" spans="8:8" ht="13.2" x14ac:dyDescent="0.25">
      <c r="H644" s="150"/>
    </row>
    <row r="645" spans="8:8" ht="13.2" x14ac:dyDescent="0.25">
      <c r="H645" s="150"/>
    </row>
    <row r="646" spans="8:8" ht="13.2" x14ac:dyDescent="0.25">
      <c r="H646" s="150"/>
    </row>
    <row r="647" spans="8:8" ht="13.2" x14ac:dyDescent="0.25">
      <c r="H647" s="150"/>
    </row>
    <row r="648" spans="8:8" ht="13.2" x14ac:dyDescent="0.25">
      <c r="H648" s="150"/>
    </row>
    <row r="649" spans="8:8" ht="13.2" x14ac:dyDescent="0.25">
      <c r="H649" s="150"/>
    </row>
    <row r="650" spans="8:8" ht="13.2" x14ac:dyDescent="0.25">
      <c r="H650" s="150"/>
    </row>
    <row r="651" spans="8:8" ht="13.2" x14ac:dyDescent="0.25">
      <c r="H651" s="150"/>
    </row>
    <row r="652" spans="8:8" ht="13.2" x14ac:dyDescent="0.25">
      <c r="H652" s="150"/>
    </row>
    <row r="653" spans="8:8" ht="13.2" x14ac:dyDescent="0.25">
      <c r="H653" s="150"/>
    </row>
    <row r="654" spans="8:8" ht="13.2" x14ac:dyDescent="0.25">
      <c r="H654" s="150"/>
    </row>
    <row r="655" spans="8:8" ht="13.2" x14ac:dyDescent="0.25">
      <c r="H655" s="150"/>
    </row>
    <row r="656" spans="8:8" ht="13.2" x14ac:dyDescent="0.25">
      <c r="H656" s="150"/>
    </row>
    <row r="657" spans="8:8" ht="13.2" x14ac:dyDescent="0.25">
      <c r="H657" s="150"/>
    </row>
    <row r="658" spans="8:8" ht="13.2" x14ac:dyDescent="0.25">
      <c r="H658" s="150"/>
    </row>
    <row r="659" spans="8:8" ht="13.2" x14ac:dyDescent="0.25">
      <c r="H659" s="150"/>
    </row>
    <row r="660" spans="8:8" ht="13.2" x14ac:dyDescent="0.25">
      <c r="H660" s="150"/>
    </row>
    <row r="661" spans="8:8" ht="13.2" x14ac:dyDescent="0.25">
      <c r="H661" s="150"/>
    </row>
    <row r="662" spans="8:8" ht="13.2" x14ac:dyDescent="0.25">
      <c r="H662" s="150"/>
    </row>
    <row r="663" spans="8:8" ht="13.2" x14ac:dyDescent="0.25">
      <c r="H663" s="150"/>
    </row>
    <row r="664" spans="8:8" ht="13.2" x14ac:dyDescent="0.25">
      <c r="H664" s="150"/>
    </row>
    <row r="665" spans="8:8" ht="13.2" x14ac:dyDescent="0.25">
      <c r="H665" s="150"/>
    </row>
    <row r="666" spans="8:8" ht="13.2" x14ac:dyDescent="0.25">
      <c r="H666" s="150"/>
    </row>
    <row r="667" spans="8:8" ht="13.2" x14ac:dyDescent="0.25">
      <c r="H667" s="150"/>
    </row>
    <row r="668" spans="8:8" ht="13.2" x14ac:dyDescent="0.25">
      <c r="H668" s="150"/>
    </row>
    <row r="669" spans="8:8" ht="13.2" x14ac:dyDescent="0.25">
      <c r="H669" s="150"/>
    </row>
    <row r="670" spans="8:8" ht="13.2" x14ac:dyDescent="0.25">
      <c r="H670" s="150"/>
    </row>
    <row r="671" spans="8:8" ht="13.2" x14ac:dyDescent="0.25">
      <c r="H671" s="150"/>
    </row>
    <row r="672" spans="8:8" ht="13.2" x14ac:dyDescent="0.25">
      <c r="H672" s="150"/>
    </row>
    <row r="673" spans="8:8" ht="13.2" x14ac:dyDescent="0.25">
      <c r="H673" s="150"/>
    </row>
    <row r="674" spans="8:8" ht="13.2" x14ac:dyDescent="0.25">
      <c r="H674" s="150"/>
    </row>
    <row r="675" spans="8:8" ht="13.2" x14ac:dyDescent="0.25">
      <c r="H675" s="150"/>
    </row>
    <row r="676" spans="8:8" ht="13.2" x14ac:dyDescent="0.25">
      <c r="H676" s="150"/>
    </row>
    <row r="677" spans="8:8" ht="13.2" x14ac:dyDescent="0.25">
      <c r="H677" s="150"/>
    </row>
    <row r="678" spans="8:8" ht="13.2" x14ac:dyDescent="0.25">
      <c r="H678" s="150"/>
    </row>
    <row r="679" spans="8:8" ht="13.2" x14ac:dyDescent="0.25">
      <c r="H679" s="150"/>
    </row>
    <row r="680" spans="8:8" ht="13.2" x14ac:dyDescent="0.25">
      <c r="H680" s="150"/>
    </row>
    <row r="681" spans="8:8" ht="13.2" x14ac:dyDescent="0.25">
      <c r="H681" s="150"/>
    </row>
    <row r="682" spans="8:8" ht="13.2" x14ac:dyDescent="0.25">
      <c r="H682" s="150"/>
    </row>
    <row r="683" spans="8:8" ht="13.2" x14ac:dyDescent="0.25">
      <c r="H683" s="150"/>
    </row>
    <row r="684" spans="8:8" ht="13.2" x14ac:dyDescent="0.25">
      <c r="H684" s="150"/>
    </row>
    <row r="685" spans="8:8" ht="13.2" x14ac:dyDescent="0.25">
      <c r="H685" s="150"/>
    </row>
    <row r="686" spans="8:8" ht="13.2" x14ac:dyDescent="0.25">
      <c r="H686" s="150"/>
    </row>
    <row r="687" spans="8:8" ht="13.2" x14ac:dyDescent="0.25">
      <c r="H687" s="150"/>
    </row>
    <row r="688" spans="8:8" ht="13.2" x14ac:dyDescent="0.25">
      <c r="H688" s="150"/>
    </row>
    <row r="689" spans="8:8" ht="13.2" x14ac:dyDescent="0.25">
      <c r="H689" s="150"/>
    </row>
    <row r="690" spans="8:8" ht="13.2" x14ac:dyDescent="0.25">
      <c r="H690" s="150"/>
    </row>
    <row r="691" spans="8:8" ht="13.2" x14ac:dyDescent="0.25">
      <c r="H691" s="150"/>
    </row>
    <row r="692" spans="8:8" ht="13.2" x14ac:dyDescent="0.25">
      <c r="H692" s="150"/>
    </row>
    <row r="693" spans="8:8" ht="13.2" x14ac:dyDescent="0.25">
      <c r="H693" s="150"/>
    </row>
    <row r="694" spans="8:8" ht="13.2" x14ac:dyDescent="0.25">
      <c r="H694" s="150"/>
    </row>
    <row r="695" spans="8:8" ht="13.2" x14ac:dyDescent="0.25">
      <c r="H695" s="150"/>
    </row>
    <row r="696" spans="8:8" ht="13.2" x14ac:dyDescent="0.25">
      <c r="H696" s="150"/>
    </row>
    <row r="697" spans="8:8" ht="13.2" x14ac:dyDescent="0.25">
      <c r="H697" s="150"/>
    </row>
    <row r="698" spans="8:8" ht="13.2" x14ac:dyDescent="0.25">
      <c r="H698" s="150"/>
    </row>
    <row r="699" spans="8:8" ht="13.2" x14ac:dyDescent="0.25">
      <c r="H699" s="150"/>
    </row>
    <row r="700" spans="8:8" ht="13.2" x14ac:dyDescent="0.25">
      <c r="H700" s="150"/>
    </row>
    <row r="701" spans="8:8" ht="13.2" x14ac:dyDescent="0.25">
      <c r="H701" s="150"/>
    </row>
    <row r="702" spans="8:8" ht="13.2" x14ac:dyDescent="0.25">
      <c r="H702" s="150"/>
    </row>
    <row r="703" spans="8:8" ht="13.2" x14ac:dyDescent="0.25">
      <c r="H703" s="150"/>
    </row>
    <row r="704" spans="8:8" ht="13.2" x14ac:dyDescent="0.25">
      <c r="H704" s="150"/>
    </row>
    <row r="705" spans="8:8" ht="13.2" x14ac:dyDescent="0.25">
      <c r="H705" s="150"/>
    </row>
    <row r="706" spans="8:8" ht="13.2" x14ac:dyDescent="0.25">
      <c r="H706" s="150"/>
    </row>
    <row r="707" spans="8:8" ht="13.2" x14ac:dyDescent="0.25">
      <c r="H707" s="150"/>
    </row>
    <row r="708" spans="8:8" ht="13.2" x14ac:dyDescent="0.25">
      <c r="H708" s="150"/>
    </row>
    <row r="709" spans="8:8" ht="13.2" x14ac:dyDescent="0.25">
      <c r="H709" s="150"/>
    </row>
    <row r="710" spans="8:8" ht="13.2" x14ac:dyDescent="0.25">
      <c r="H710" s="150"/>
    </row>
    <row r="711" spans="8:8" ht="13.2" x14ac:dyDescent="0.25">
      <c r="H711" s="150"/>
    </row>
    <row r="712" spans="8:8" ht="13.2" x14ac:dyDescent="0.25">
      <c r="H712" s="150"/>
    </row>
    <row r="713" spans="8:8" ht="13.2" x14ac:dyDescent="0.25">
      <c r="H713" s="150"/>
    </row>
    <row r="714" spans="8:8" ht="13.2" x14ac:dyDescent="0.25">
      <c r="H714" s="150"/>
    </row>
    <row r="715" spans="8:8" ht="13.2" x14ac:dyDescent="0.25">
      <c r="H715" s="150"/>
    </row>
    <row r="716" spans="8:8" ht="13.2" x14ac:dyDescent="0.25">
      <c r="H716" s="150"/>
    </row>
    <row r="717" spans="8:8" ht="13.2" x14ac:dyDescent="0.25">
      <c r="H717" s="150"/>
    </row>
    <row r="718" spans="8:8" ht="13.2" x14ac:dyDescent="0.25">
      <c r="H718" s="150"/>
    </row>
    <row r="719" spans="8:8" ht="13.2" x14ac:dyDescent="0.25">
      <c r="H719" s="150"/>
    </row>
    <row r="720" spans="8:8" ht="13.2" x14ac:dyDescent="0.25">
      <c r="H720" s="150"/>
    </row>
    <row r="721" spans="8:8" ht="13.2" x14ac:dyDescent="0.25">
      <c r="H721" s="150"/>
    </row>
    <row r="722" spans="8:8" ht="13.2" x14ac:dyDescent="0.25">
      <c r="H722" s="150"/>
    </row>
    <row r="723" spans="8:8" ht="13.2" x14ac:dyDescent="0.25">
      <c r="H723" s="150"/>
    </row>
    <row r="724" spans="8:8" ht="13.2" x14ac:dyDescent="0.25">
      <c r="H724" s="150"/>
    </row>
    <row r="725" spans="8:8" ht="13.2" x14ac:dyDescent="0.25">
      <c r="H725" s="150"/>
    </row>
    <row r="726" spans="8:8" ht="13.2" x14ac:dyDescent="0.25">
      <c r="H726" s="150"/>
    </row>
    <row r="727" spans="8:8" ht="13.2" x14ac:dyDescent="0.25">
      <c r="H727" s="150"/>
    </row>
    <row r="728" spans="8:8" ht="13.2" x14ac:dyDescent="0.25">
      <c r="H728" s="150"/>
    </row>
    <row r="729" spans="8:8" ht="13.2" x14ac:dyDescent="0.25">
      <c r="H729" s="150"/>
    </row>
    <row r="730" spans="8:8" ht="13.2" x14ac:dyDescent="0.25">
      <c r="H730" s="150"/>
    </row>
    <row r="731" spans="8:8" ht="13.2" x14ac:dyDescent="0.25">
      <c r="H731" s="150"/>
    </row>
    <row r="732" spans="8:8" ht="13.2" x14ac:dyDescent="0.25">
      <c r="H732" s="150"/>
    </row>
    <row r="733" spans="8:8" ht="13.2" x14ac:dyDescent="0.25">
      <c r="H733" s="150"/>
    </row>
    <row r="734" spans="8:8" ht="13.2" x14ac:dyDescent="0.25">
      <c r="H734" s="150"/>
    </row>
    <row r="735" spans="8:8" ht="13.2" x14ac:dyDescent="0.25">
      <c r="H735" s="150"/>
    </row>
    <row r="736" spans="8:8" ht="13.2" x14ac:dyDescent="0.25">
      <c r="H736" s="150"/>
    </row>
    <row r="737" spans="8:8" ht="13.2" x14ac:dyDescent="0.25">
      <c r="H737" s="150"/>
    </row>
    <row r="738" spans="8:8" ht="13.2" x14ac:dyDescent="0.25">
      <c r="H738" s="150"/>
    </row>
    <row r="739" spans="8:8" ht="13.2" x14ac:dyDescent="0.25">
      <c r="H739" s="150"/>
    </row>
    <row r="740" spans="8:8" ht="13.2" x14ac:dyDescent="0.25">
      <c r="H740" s="150"/>
    </row>
    <row r="741" spans="8:8" ht="13.2" x14ac:dyDescent="0.25">
      <c r="H741" s="150"/>
    </row>
    <row r="742" spans="8:8" ht="13.2" x14ac:dyDescent="0.25">
      <c r="H742" s="150"/>
    </row>
    <row r="743" spans="8:8" ht="13.2" x14ac:dyDescent="0.25">
      <c r="H743" s="150"/>
    </row>
    <row r="744" spans="8:8" ht="13.2" x14ac:dyDescent="0.25">
      <c r="H744" s="150"/>
    </row>
    <row r="745" spans="8:8" ht="13.2" x14ac:dyDescent="0.25">
      <c r="H745" s="150"/>
    </row>
    <row r="746" spans="8:8" ht="13.2" x14ac:dyDescent="0.25">
      <c r="H746" s="150"/>
    </row>
    <row r="747" spans="8:8" ht="13.2" x14ac:dyDescent="0.25">
      <c r="H747" s="150"/>
    </row>
    <row r="748" spans="8:8" ht="13.2" x14ac:dyDescent="0.25">
      <c r="H748" s="150"/>
    </row>
    <row r="749" spans="8:8" ht="13.2" x14ac:dyDescent="0.25">
      <c r="H749" s="150"/>
    </row>
    <row r="750" spans="8:8" ht="13.2" x14ac:dyDescent="0.25">
      <c r="H750" s="150"/>
    </row>
    <row r="751" spans="8:8" ht="13.2" x14ac:dyDescent="0.25">
      <c r="H751" s="150"/>
    </row>
    <row r="752" spans="8:8" ht="13.2" x14ac:dyDescent="0.25">
      <c r="H752" s="150"/>
    </row>
    <row r="753" spans="8:8" ht="13.2" x14ac:dyDescent="0.25">
      <c r="H753" s="150"/>
    </row>
    <row r="754" spans="8:8" ht="13.2" x14ac:dyDescent="0.25">
      <c r="H754" s="150"/>
    </row>
    <row r="755" spans="8:8" ht="13.2" x14ac:dyDescent="0.25">
      <c r="H755" s="150"/>
    </row>
    <row r="756" spans="8:8" ht="13.2" x14ac:dyDescent="0.25">
      <c r="H756" s="150"/>
    </row>
    <row r="757" spans="8:8" ht="13.2" x14ac:dyDescent="0.25">
      <c r="H757" s="150"/>
    </row>
    <row r="758" spans="8:8" ht="13.2" x14ac:dyDescent="0.25">
      <c r="H758" s="150"/>
    </row>
    <row r="759" spans="8:8" ht="13.2" x14ac:dyDescent="0.25">
      <c r="H759" s="150"/>
    </row>
    <row r="760" spans="8:8" ht="13.2" x14ac:dyDescent="0.25">
      <c r="H760" s="150"/>
    </row>
    <row r="761" spans="8:8" ht="13.2" x14ac:dyDescent="0.25">
      <c r="H761" s="150"/>
    </row>
    <row r="762" spans="8:8" ht="13.2" x14ac:dyDescent="0.25">
      <c r="H762" s="150"/>
    </row>
    <row r="763" spans="8:8" ht="13.2" x14ac:dyDescent="0.25">
      <c r="H763" s="150"/>
    </row>
    <row r="764" spans="8:8" ht="13.2" x14ac:dyDescent="0.25">
      <c r="H764" s="150"/>
    </row>
    <row r="765" spans="8:8" ht="13.2" x14ac:dyDescent="0.25">
      <c r="H765" s="150"/>
    </row>
    <row r="766" spans="8:8" ht="13.2" x14ac:dyDescent="0.25">
      <c r="H766" s="150"/>
    </row>
    <row r="767" spans="8:8" ht="13.2" x14ac:dyDescent="0.25">
      <c r="H767" s="150"/>
    </row>
    <row r="768" spans="8:8" ht="13.2" x14ac:dyDescent="0.25">
      <c r="H768" s="150"/>
    </row>
    <row r="769" spans="8:8" ht="13.2" x14ac:dyDescent="0.25">
      <c r="H769" s="150"/>
    </row>
    <row r="770" spans="8:8" ht="13.2" x14ac:dyDescent="0.25">
      <c r="H770" s="150"/>
    </row>
    <row r="771" spans="8:8" ht="13.2" x14ac:dyDescent="0.25">
      <c r="H771" s="150"/>
    </row>
    <row r="772" spans="8:8" ht="13.2" x14ac:dyDescent="0.25">
      <c r="H772" s="150"/>
    </row>
    <row r="773" spans="8:8" ht="13.2" x14ac:dyDescent="0.25">
      <c r="H773" s="150"/>
    </row>
    <row r="774" spans="8:8" ht="13.2" x14ac:dyDescent="0.25">
      <c r="H774" s="150"/>
    </row>
    <row r="775" spans="8:8" ht="13.2" x14ac:dyDescent="0.25">
      <c r="H775" s="150"/>
    </row>
    <row r="776" spans="8:8" ht="13.2" x14ac:dyDescent="0.25">
      <c r="H776" s="150"/>
    </row>
    <row r="777" spans="8:8" ht="13.2" x14ac:dyDescent="0.25">
      <c r="H777" s="150"/>
    </row>
    <row r="778" spans="8:8" ht="13.2" x14ac:dyDescent="0.25">
      <c r="H778" s="150"/>
    </row>
    <row r="779" spans="8:8" ht="13.2" x14ac:dyDescent="0.25">
      <c r="H779" s="150"/>
    </row>
    <row r="780" spans="8:8" ht="13.2" x14ac:dyDescent="0.25">
      <c r="H780" s="150"/>
    </row>
    <row r="781" spans="8:8" ht="13.2" x14ac:dyDescent="0.25">
      <c r="H781" s="150"/>
    </row>
    <row r="782" spans="8:8" ht="13.2" x14ac:dyDescent="0.25">
      <c r="H782" s="150"/>
    </row>
    <row r="783" spans="8:8" ht="13.2" x14ac:dyDescent="0.25">
      <c r="H783" s="150"/>
    </row>
    <row r="784" spans="8:8" ht="13.2" x14ac:dyDescent="0.25">
      <c r="H784" s="150"/>
    </row>
    <row r="785" spans="8:8" ht="13.2" x14ac:dyDescent="0.25">
      <c r="H785" s="150"/>
    </row>
    <row r="786" spans="8:8" ht="13.2" x14ac:dyDescent="0.25">
      <c r="H786" s="150"/>
    </row>
    <row r="787" spans="8:8" ht="13.2" x14ac:dyDescent="0.25">
      <c r="H787" s="150"/>
    </row>
    <row r="788" spans="8:8" ht="13.2" x14ac:dyDescent="0.25">
      <c r="H788" s="150"/>
    </row>
    <row r="789" spans="8:8" ht="13.2" x14ac:dyDescent="0.25">
      <c r="H789" s="150"/>
    </row>
    <row r="790" spans="8:8" ht="13.2" x14ac:dyDescent="0.25">
      <c r="H790" s="150"/>
    </row>
    <row r="791" spans="8:8" ht="13.2" x14ac:dyDescent="0.25">
      <c r="H791" s="150"/>
    </row>
    <row r="792" spans="8:8" ht="13.2" x14ac:dyDescent="0.25">
      <c r="H792" s="150"/>
    </row>
    <row r="793" spans="8:8" ht="13.2" x14ac:dyDescent="0.25">
      <c r="H793" s="150"/>
    </row>
    <row r="794" spans="8:8" ht="13.2" x14ac:dyDescent="0.25">
      <c r="H794" s="150"/>
    </row>
    <row r="795" spans="8:8" ht="13.2" x14ac:dyDescent="0.25">
      <c r="H795" s="150"/>
    </row>
    <row r="796" spans="8:8" ht="13.2" x14ac:dyDescent="0.25">
      <c r="H796" s="150"/>
    </row>
    <row r="797" spans="8:8" ht="13.2" x14ac:dyDescent="0.25">
      <c r="H797" s="150"/>
    </row>
    <row r="798" spans="8:8" ht="13.2" x14ac:dyDescent="0.25">
      <c r="H798" s="150"/>
    </row>
    <row r="799" spans="8:8" ht="13.2" x14ac:dyDescent="0.25">
      <c r="H799" s="150"/>
    </row>
    <row r="800" spans="8:8" ht="13.2" x14ac:dyDescent="0.25">
      <c r="H800" s="150"/>
    </row>
    <row r="801" spans="8:8" ht="13.2" x14ac:dyDescent="0.25">
      <c r="H801" s="150"/>
    </row>
    <row r="802" spans="8:8" ht="13.2" x14ac:dyDescent="0.25"/>
    <row r="803" spans="8:8" ht="13.2" x14ac:dyDescent="0.25"/>
    <row r="804" spans="8:8" ht="13.2" x14ac:dyDescent="0.25"/>
    <row r="805" spans="8:8" ht="13.2" x14ac:dyDescent="0.25"/>
    <row r="806" spans="8:8" ht="13.2" x14ac:dyDescent="0.25"/>
    <row r="807" spans="8:8" ht="0.75" customHeight="1" x14ac:dyDescent="0.25"/>
    <row r="808" spans="8:8" ht="13.2" x14ac:dyDescent="0.25"/>
    <row r="809" spans="8:8" ht="13.2" x14ac:dyDescent="0.25"/>
    <row r="810" spans="8:8" ht="13.2" x14ac:dyDescent="0.25"/>
    <row r="811" spans="8:8" ht="13.2" x14ac:dyDescent="0.25"/>
    <row r="812" spans="8:8" ht="13.2" x14ac:dyDescent="0.25"/>
    <row r="813" spans="8:8" ht="13.2" x14ac:dyDescent="0.25"/>
    <row r="814" spans="8:8" ht="13.2" x14ac:dyDescent="0.25"/>
    <row r="815" spans="8:8" ht="13.2" x14ac:dyDescent="0.25"/>
    <row r="816" spans="8:8"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3.2" customHeight="1" x14ac:dyDescent="0.25"/>
    <row r="897" ht="13.2" customHeight="1" x14ac:dyDescent="0.25"/>
    <row r="898" ht="13.2" customHeight="1" x14ac:dyDescent="0.25"/>
    <row r="899" ht="13.2" customHeight="1" x14ac:dyDescent="0.25"/>
    <row r="900" ht="13.2" customHeight="1" x14ac:dyDescent="0.25"/>
    <row r="901" ht="13.2" customHeight="1" x14ac:dyDescent="0.25"/>
    <row r="902" ht="13.2" customHeight="1" x14ac:dyDescent="0.25"/>
    <row r="903" ht="13.2" customHeight="1" x14ac:dyDescent="0.25"/>
    <row r="904" ht="13.2" customHeight="1" x14ac:dyDescent="0.25"/>
    <row r="905" ht="13.2" customHeight="1" x14ac:dyDescent="0.25"/>
    <row r="906" ht="13.2" customHeight="1" x14ac:dyDescent="0.25"/>
    <row r="907" ht="13.2" customHeight="1" x14ac:dyDescent="0.25"/>
    <row r="908" ht="13.2" customHeight="1" x14ac:dyDescent="0.25"/>
    <row r="909" ht="13.2" customHeight="1" x14ac:dyDescent="0.25"/>
    <row r="910" ht="13.2" customHeight="1" x14ac:dyDescent="0.25"/>
    <row r="911" ht="13.2" customHeight="1" x14ac:dyDescent="0.25"/>
    <row r="912" ht="13.2" customHeight="1" x14ac:dyDescent="0.25"/>
    <row r="913" ht="13.2" customHeight="1" x14ac:dyDescent="0.25"/>
    <row r="914" ht="13.2" customHeight="1" x14ac:dyDescent="0.25"/>
    <row r="915" ht="13.2" customHeight="1" x14ac:dyDescent="0.25"/>
    <row r="916" ht="13.2" customHeight="1" x14ac:dyDescent="0.25"/>
    <row r="917" ht="13.2" customHeight="1" x14ac:dyDescent="0.25"/>
    <row r="918" ht="13.2" customHeight="1" x14ac:dyDescent="0.25"/>
    <row r="919" ht="13.2" customHeight="1" x14ac:dyDescent="0.25"/>
    <row r="920" ht="13.2" customHeight="1" x14ac:dyDescent="0.25"/>
    <row r="921" ht="13.2" customHeight="1" x14ac:dyDescent="0.25"/>
    <row r="922" ht="13.2" customHeight="1" x14ac:dyDescent="0.25"/>
    <row r="923" ht="13.2" customHeight="1" x14ac:dyDescent="0.25"/>
    <row r="924" ht="13.2" customHeight="1" x14ac:dyDescent="0.25"/>
    <row r="925" ht="13.2" customHeight="1" x14ac:dyDescent="0.25"/>
    <row r="926" ht="13.2" customHeight="1" x14ac:dyDescent="0.25"/>
    <row r="927" ht="13.2" customHeight="1" x14ac:dyDescent="0.25"/>
    <row r="928" ht="13.2" customHeight="1" x14ac:dyDescent="0.25"/>
    <row r="929" ht="13.2" customHeight="1" x14ac:dyDescent="0.25"/>
    <row r="930" ht="13.2" customHeight="1" x14ac:dyDescent="0.25"/>
    <row r="931" ht="13.2" customHeight="1" x14ac:dyDescent="0.25"/>
    <row r="932" ht="13.2" customHeight="1" x14ac:dyDescent="0.25"/>
  </sheetData>
  <sheetProtection algorithmName="SHA-512" hashValue="vKtCz+oJPDvX3NZaxlovbloZE1gKznB+aI2Z7Vi1oxUOyGb/5qy1YBcoQylVjaMYMsxM1flb3VWbumDw4IlqZA==" saltValue="kAXIYO1PtPOlbUoqp3rzjg==" spinCount="100000" sheet="1" selectLockedCells="1"/>
  <mergeCells count="5">
    <mergeCell ref="C42:F42"/>
    <mergeCell ref="C47:F47"/>
    <mergeCell ref="H2:H3"/>
    <mergeCell ref="B2:D3"/>
    <mergeCell ref="C44:D44"/>
  </mergeCells>
  <dataValidations count="8">
    <dataValidation type="list" allowBlank="1" showInputMessage="1" showErrorMessage="1" sqref="IY65517 WVK983021 WLO983021 WBS983021 VRW983021 VIA983021 UYE983021 UOI983021 UEM983021 TUQ983021 TKU983021 TAY983021 SRC983021 SHG983021 RXK983021 RNO983021 RDS983021 QTW983021 QKA983021 QAE983021 PQI983021 PGM983021 OWQ983021 OMU983021 OCY983021 NTC983021 NJG983021 MZK983021 MPO983021 MFS983021 LVW983021 LMA983021 LCE983021 KSI983021 KIM983021 JYQ983021 JOU983021 JEY983021 IVC983021 ILG983021 IBK983021 HRO983021 HHS983021 GXW983021 GOA983021 GEE983021 FUI983021 FKM983021 FAQ983021 EQU983021 EGY983021 DXC983021 DNG983021 DDK983021 CTO983021 CJS983021 BZW983021 BQA983021 BGE983021 AWI983021 AMM983021 ACQ983021 SU983021 IY983021 B983021 WVK917485 WLO917485 WBS917485 VRW917485 VIA917485 UYE917485 UOI917485 UEM917485 TUQ917485 TKU917485 TAY917485 SRC917485 SHG917485 RXK917485 RNO917485 RDS917485 QTW917485 QKA917485 QAE917485 PQI917485 PGM917485 OWQ917485 OMU917485 OCY917485 NTC917485 NJG917485 MZK917485 MPO917485 MFS917485 LVW917485 LMA917485 LCE917485 KSI917485 KIM917485 JYQ917485 JOU917485 JEY917485 IVC917485 ILG917485 IBK917485 HRO917485 HHS917485 GXW917485 GOA917485 GEE917485 FUI917485 FKM917485 FAQ917485 EQU917485 EGY917485 DXC917485 DNG917485 DDK917485 CTO917485 CJS917485 BZW917485 BQA917485 BGE917485 AWI917485 AMM917485 ACQ917485 SU917485 IY917485 B917485 WVK851949 WLO851949 WBS851949 VRW851949 VIA851949 UYE851949 UOI851949 UEM851949 TUQ851949 TKU851949 TAY851949 SRC851949 SHG851949 RXK851949 RNO851949 RDS851949 QTW851949 QKA851949 QAE851949 PQI851949 PGM851949 OWQ851949 OMU851949 OCY851949 NTC851949 NJG851949 MZK851949 MPO851949 MFS851949 LVW851949 LMA851949 LCE851949 KSI851949 KIM851949 JYQ851949 JOU851949 JEY851949 IVC851949 ILG851949 IBK851949 HRO851949 HHS851949 GXW851949 GOA851949 GEE851949 FUI851949 FKM851949 FAQ851949 EQU851949 EGY851949 DXC851949 DNG851949 DDK851949 CTO851949 CJS851949 BZW851949 BQA851949 BGE851949 AWI851949 AMM851949 ACQ851949 SU851949 IY851949 B851949 WVK786413 WLO786413 WBS786413 VRW786413 VIA786413 UYE786413 UOI786413 UEM786413 TUQ786413 TKU786413 TAY786413 SRC786413 SHG786413 RXK786413 RNO786413 RDS786413 QTW786413 QKA786413 QAE786413 PQI786413 PGM786413 OWQ786413 OMU786413 OCY786413 NTC786413 NJG786413 MZK786413 MPO786413 MFS786413 LVW786413 LMA786413 LCE786413 KSI786413 KIM786413 JYQ786413 JOU786413 JEY786413 IVC786413 ILG786413 IBK786413 HRO786413 HHS786413 GXW786413 GOA786413 GEE786413 FUI786413 FKM786413 FAQ786413 EQU786413 EGY786413 DXC786413 DNG786413 DDK786413 CTO786413 CJS786413 BZW786413 BQA786413 BGE786413 AWI786413 AMM786413 ACQ786413 SU786413 IY786413 B786413 WVK720877 WLO720877 WBS720877 VRW720877 VIA720877 UYE720877 UOI720877 UEM720877 TUQ720877 TKU720877 TAY720877 SRC720877 SHG720877 RXK720877 RNO720877 RDS720877 QTW720877 QKA720877 QAE720877 PQI720877 PGM720877 OWQ720877 OMU720877 OCY720877 NTC720877 NJG720877 MZK720877 MPO720877 MFS720877 LVW720877 LMA720877 LCE720877 KSI720877 KIM720877 JYQ720877 JOU720877 JEY720877 IVC720877 ILG720877 IBK720877 HRO720877 HHS720877 GXW720877 GOA720877 GEE720877 FUI720877 FKM720877 FAQ720877 EQU720877 EGY720877 DXC720877 DNG720877 DDK720877 CTO720877 CJS720877 BZW720877 BQA720877 BGE720877 AWI720877 AMM720877 ACQ720877 SU720877 IY720877 B720877 WVK655341 WLO655341 WBS655341 VRW655341 VIA655341 UYE655341 UOI655341 UEM655341 TUQ655341 TKU655341 TAY655341 SRC655341 SHG655341 RXK655341 RNO655341 RDS655341 QTW655341 QKA655341 QAE655341 PQI655341 PGM655341 OWQ655341 OMU655341 OCY655341 NTC655341 NJG655341 MZK655341 MPO655341 MFS655341 LVW655341 LMA655341 LCE655341 KSI655341 KIM655341 JYQ655341 JOU655341 JEY655341 IVC655341 ILG655341 IBK655341 HRO655341 HHS655341 GXW655341 GOA655341 GEE655341 FUI655341 FKM655341 FAQ655341 EQU655341 EGY655341 DXC655341 DNG655341 DDK655341 CTO655341 CJS655341 BZW655341 BQA655341 BGE655341 AWI655341 AMM655341 ACQ655341 SU655341 IY655341 B655341 WVK589805 WLO589805 WBS589805 VRW589805 VIA589805 UYE589805 UOI589805 UEM589805 TUQ589805 TKU589805 TAY589805 SRC589805 SHG589805 RXK589805 RNO589805 RDS589805 QTW589805 QKA589805 QAE589805 PQI589805 PGM589805 OWQ589805 OMU589805 OCY589805 NTC589805 NJG589805 MZK589805 MPO589805 MFS589805 LVW589805 LMA589805 LCE589805 KSI589805 KIM589805 JYQ589805 JOU589805 JEY589805 IVC589805 ILG589805 IBK589805 HRO589805 HHS589805 GXW589805 GOA589805 GEE589805 FUI589805 FKM589805 FAQ589805 EQU589805 EGY589805 DXC589805 DNG589805 DDK589805 CTO589805 CJS589805 BZW589805 BQA589805 BGE589805 AWI589805 AMM589805 ACQ589805 SU589805 IY589805 B589805 WVK524269 WLO524269 WBS524269 VRW524269 VIA524269 UYE524269 UOI524269 UEM524269 TUQ524269 TKU524269 TAY524269 SRC524269 SHG524269 RXK524269 RNO524269 RDS524269 QTW524269 QKA524269 QAE524269 PQI524269 PGM524269 OWQ524269 OMU524269 OCY524269 NTC524269 NJG524269 MZK524269 MPO524269 MFS524269 LVW524269 LMA524269 LCE524269 KSI524269 KIM524269 JYQ524269 JOU524269 JEY524269 IVC524269 ILG524269 IBK524269 HRO524269 HHS524269 GXW524269 GOA524269 GEE524269 FUI524269 FKM524269 FAQ524269 EQU524269 EGY524269 DXC524269 DNG524269 DDK524269 CTO524269 CJS524269 BZW524269 BQA524269 BGE524269 AWI524269 AMM524269 ACQ524269 SU524269 IY524269 B524269 WVK458733 WLO458733 WBS458733 VRW458733 VIA458733 UYE458733 UOI458733 UEM458733 TUQ458733 TKU458733 TAY458733 SRC458733 SHG458733 RXK458733 RNO458733 RDS458733 QTW458733 QKA458733 QAE458733 PQI458733 PGM458733 OWQ458733 OMU458733 OCY458733 NTC458733 NJG458733 MZK458733 MPO458733 MFS458733 LVW458733 LMA458733 LCE458733 KSI458733 KIM458733 JYQ458733 JOU458733 JEY458733 IVC458733 ILG458733 IBK458733 HRO458733 HHS458733 GXW458733 GOA458733 GEE458733 FUI458733 FKM458733 FAQ458733 EQU458733 EGY458733 DXC458733 DNG458733 DDK458733 CTO458733 CJS458733 BZW458733 BQA458733 BGE458733 AWI458733 AMM458733 ACQ458733 SU458733 IY458733 B458733 WVK393197 WLO393197 WBS393197 VRW393197 VIA393197 UYE393197 UOI393197 UEM393197 TUQ393197 TKU393197 TAY393197 SRC393197 SHG393197 RXK393197 RNO393197 RDS393197 QTW393197 QKA393197 QAE393197 PQI393197 PGM393197 OWQ393197 OMU393197 OCY393197 NTC393197 NJG393197 MZK393197 MPO393197 MFS393197 LVW393197 LMA393197 LCE393197 KSI393197 KIM393197 JYQ393197 JOU393197 JEY393197 IVC393197 ILG393197 IBK393197 HRO393197 HHS393197 GXW393197 GOA393197 GEE393197 FUI393197 FKM393197 FAQ393197 EQU393197 EGY393197 DXC393197 DNG393197 DDK393197 CTO393197 CJS393197 BZW393197 BQA393197 BGE393197 AWI393197 AMM393197 ACQ393197 SU393197 IY393197 B393197 WVK327661 WLO327661 WBS327661 VRW327661 VIA327661 UYE327661 UOI327661 UEM327661 TUQ327661 TKU327661 TAY327661 SRC327661 SHG327661 RXK327661 RNO327661 RDS327661 QTW327661 QKA327661 QAE327661 PQI327661 PGM327661 OWQ327661 OMU327661 OCY327661 NTC327661 NJG327661 MZK327661 MPO327661 MFS327661 LVW327661 LMA327661 LCE327661 KSI327661 KIM327661 JYQ327661 JOU327661 JEY327661 IVC327661 ILG327661 IBK327661 HRO327661 HHS327661 GXW327661 GOA327661 GEE327661 FUI327661 FKM327661 FAQ327661 EQU327661 EGY327661 DXC327661 DNG327661 DDK327661 CTO327661 CJS327661 BZW327661 BQA327661 BGE327661 AWI327661 AMM327661 ACQ327661 SU327661 IY327661 B327661 WVK262125 WLO262125 WBS262125 VRW262125 VIA262125 UYE262125 UOI262125 UEM262125 TUQ262125 TKU262125 TAY262125 SRC262125 SHG262125 RXK262125 RNO262125 RDS262125 QTW262125 QKA262125 QAE262125 PQI262125 PGM262125 OWQ262125 OMU262125 OCY262125 NTC262125 NJG262125 MZK262125 MPO262125 MFS262125 LVW262125 LMA262125 LCE262125 KSI262125 KIM262125 JYQ262125 JOU262125 JEY262125 IVC262125 ILG262125 IBK262125 HRO262125 HHS262125 GXW262125 GOA262125 GEE262125 FUI262125 FKM262125 FAQ262125 EQU262125 EGY262125 DXC262125 DNG262125 DDK262125 CTO262125 CJS262125 BZW262125 BQA262125 BGE262125 AWI262125 AMM262125 ACQ262125 SU262125 IY262125 B262125 WVK196589 WLO196589 WBS196589 VRW196589 VIA196589 UYE196589 UOI196589 UEM196589 TUQ196589 TKU196589 TAY196589 SRC196589 SHG196589 RXK196589 RNO196589 RDS196589 QTW196589 QKA196589 QAE196589 PQI196589 PGM196589 OWQ196589 OMU196589 OCY196589 NTC196589 NJG196589 MZK196589 MPO196589 MFS196589 LVW196589 LMA196589 LCE196589 KSI196589 KIM196589 JYQ196589 JOU196589 JEY196589 IVC196589 ILG196589 IBK196589 HRO196589 HHS196589 GXW196589 GOA196589 GEE196589 FUI196589 FKM196589 FAQ196589 EQU196589 EGY196589 DXC196589 DNG196589 DDK196589 CTO196589 CJS196589 BZW196589 BQA196589 BGE196589 AWI196589 AMM196589 ACQ196589 SU196589 IY196589 B196589 WVK131053 WLO131053 WBS131053 VRW131053 VIA131053 UYE131053 UOI131053 UEM131053 TUQ131053 TKU131053 TAY131053 SRC131053 SHG131053 RXK131053 RNO131053 RDS131053 QTW131053 QKA131053 QAE131053 PQI131053 PGM131053 OWQ131053 OMU131053 OCY131053 NTC131053 NJG131053 MZK131053 MPO131053 MFS131053 LVW131053 LMA131053 LCE131053 KSI131053 KIM131053 JYQ131053 JOU131053 JEY131053 IVC131053 ILG131053 IBK131053 HRO131053 HHS131053 GXW131053 GOA131053 GEE131053 FUI131053 FKM131053 FAQ131053 EQU131053 EGY131053 DXC131053 DNG131053 DDK131053 CTO131053 CJS131053 BZW131053 BQA131053 BGE131053 AWI131053 AMM131053 ACQ131053 SU131053 IY131053 B131053 WVK65517 WLO65517 WBS65517 VRW65517 VIA65517 UYE65517 UOI65517 UEM65517 TUQ65517 TKU65517 TAY65517 SRC65517 SHG65517 RXK65517 RNO65517 RDS65517 QTW65517 QKA65517 QAE65517 PQI65517 PGM65517 OWQ65517 OMU65517 OCY65517 NTC65517 NJG65517 MZK65517 MPO65517 MFS65517 LVW65517 LMA65517 LCE65517 KSI65517 KIM65517 JYQ65517 JOU65517 JEY65517 IVC65517 ILG65517 IBK65517 HRO65517 HHS65517 GXW65517 GOA65517 GEE65517 FUI65517 FKM65517 FAQ65517 EQU65517 EGY65517 DXC65517 DNG65517 DDK65517 CTO65517 CJS65517 BZW65517 BQA65517 BGE65517 AWI65517 AMM65517 ACQ65517 SU65517 B65517" xr:uid="{7288BFDF-B4E3-4AC3-B243-B35B9ABE8D2B}">
      <formula1>#REF!</formula1>
    </dataValidation>
    <dataValidation type="list" allowBlank="1" showInputMessage="1" showErrorMessage="1" sqref="D65517:F65517 JB65517 SX65517 ACT65517 AMP65517 AWL65517 BGH65517 BQD65517 BZZ65517 CJV65517 CTR65517 DDN65517 DNJ65517 DXF65517 EHB65517 EQX65517 FAT65517 FKP65517 FUL65517 GEH65517 GOD65517 GXZ65517 HHV65517 HRR65517 IBN65517 ILJ65517 IVF65517 JFB65517 JOX65517 JYT65517 KIP65517 KSL65517 LCH65517 LMD65517 LVZ65517 MFV65517 MPR65517 MZN65517 NJJ65517 NTF65517 ODB65517 OMX65517 OWT65517 PGP65517 PQL65517 QAH65517 QKD65517 QTZ65517 RDV65517 RNR65517 RXN65517 SHJ65517 SRF65517 TBB65517 TKX65517 TUT65517 UEP65517 UOL65517 UYH65517 VID65517 VRZ65517 WBV65517 WLR65517 WVN65517 D131053:F131053 JB131053 SX131053 ACT131053 AMP131053 AWL131053 BGH131053 BQD131053 BZZ131053 CJV131053 CTR131053 DDN131053 DNJ131053 DXF131053 EHB131053 EQX131053 FAT131053 FKP131053 FUL131053 GEH131053 GOD131053 GXZ131053 HHV131053 HRR131053 IBN131053 ILJ131053 IVF131053 JFB131053 JOX131053 JYT131053 KIP131053 KSL131053 LCH131053 LMD131053 LVZ131053 MFV131053 MPR131053 MZN131053 NJJ131053 NTF131053 ODB131053 OMX131053 OWT131053 PGP131053 PQL131053 QAH131053 QKD131053 QTZ131053 RDV131053 RNR131053 RXN131053 SHJ131053 SRF131053 TBB131053 TKX131053 TUT131053 UEP131053 UOL131053 UYH131053 VID131053 VRZ131053 WBV131053 WLR131053 WVN131053 D196589:F196589 JB196589 SX196589 ACT196589 AMP196589 AWL196589 BGH196589 BQD196589 BZZ196589 CJV196589 CTR196589 DDN196589 DNJ196589 DXF196589 EHB196589 EQX196589 FAT196589 FKP196589 FUL196589 GEH196589 GOD196589 GXZ196589 HHV196589 HRR196589 IBN196589 ILJ196589 IVF196589 JFB196589 JOX196589 JYT196589 KIP196589 KSL196589 LCH196589 LMD196589 LVZ196589 MFV196589 MPR196589 MZN196589 NJJ196589 NTF196589 ODB196589 OMX196589 OWT196589 PGP196589 PQL196589 QAH196589 QKD196589 QTZ196589 RDV196589 RNR196589 RXN196589 SHJ196589 SRF196589 TBB196589 TKX196589 TUT196589 UEP196589 UOL196589 UYH196589 VID196589 VRZ196589 WBV196589 WLR196589 WVN196589 D262125:F262125 JB262125 SX262125 ACT262125 AMP262125 AWL262125 BGH262125 BQD262125 BZZ262125 CJV262125 CTR262125 DDN262125 DNJ262125 DXF262125 EHB262125 EQX262125 FAT262125 FKP262125 FUL262125 GEH262125 GOD262125 GXZ262125 HHV262125 HRR262125 IBN262125 ILJ262125 IVF262125 JFB262125 JOX262125 JYT262125 KIP262125 KSL262125 LCH262125 LMD262125 LVZ262125 MFV262125 MPR262125 MZN262125 NJJ262125 NTF262125 ODB262125 OMX262125 OWT262125 PGP262125 PQL262125 QAH262125 QKD262125 QTZ262125 RDV262125 RNR262125 RXN262125 SHJ262125 SRF262125 TBB262125 TKX262125 TUT262125 UEP262125 UOL262125 UYH262125 VID262125 VRZ262125 WBV262125 WLR262125 WVN262125 D327661:F327661 JB327661 SX327661 ACT327661 AMP327661 AWL327661 BGH327661 BQD327661 BZZ327661 CJV327661 CTR327661 DDN327661 DNJ327661 DXF327661 EHB327661 EQX327661 FAT327661 FKP327661 FUL327661 GEH327661 GOD327661 GXZ327661 HHV327661 HRR327661 IBN327661 ILJ327661 IVF327661 JFB327661 JOX327661 JYT327661 KIP327661 KSL327661 LCH327661 LMD327661 LVZ327661 MFV327661 MPR327661 MZN327661 NJJ327661 NTF327661 ODB327661 OMX327661 OWT327661 PGP327661 PQL327661 QAH327661 QKD327661 QTZ327661 RDV327661 RNR327661 RXN327661 SHJ327661 SRF327661 TBB327661 TKX327661 TUT327661 UEP327661 UOL327661 UYH327661 VID327661 VRZ327661 WBV327661 WLR327661 WVN327661 D393197:F393197 JB393197 SX393197 ACT393197 AMP393197 AWL393197 BGH393197 BQD393197 BZZ393197 CJV393197 CTR393197 DDN393197 DNJ393197 DXF393197 EHB393197 EQX393197 FAT393197 FKP393197 FUL393197 GEH393197 GOD393197 GXZ393197 HHV393197 HRR393197 IBN393197 ILJ393197 IVF393197 JFB393197 JOX393197 JYT393197 KIP393197 KSL393197 LCH393197 LMD393197 LVZ393197 MFV393197 MPR393197 MZN393197 NJJ393197 NTF393197 ODB393197 OMX393197 OWT393197 PGP393197 PQL393197 QAH393197 QKD393197 QTZ393197 RDV393197 RNR393197 RXN393197 SHJ393197 SRF393197 TBB393197 TKX393197 TUT393197 UEP393197 UOL393197 UYH393197 VID393197 VRZ393197 WBV393197 WLR393197 WVN393197 D458733:F458733 JB458733 SX458733 ACT458733 AMP458733 AWL458733 BGH458733 BQD458733 BZZ458733 CJV458733 CTR458733 DDN458733 DNJ458733 DXF458733 EHB458733 EQX458733 FAT458733 FKP458733 FUL458733 GEH458733 GOD458733 GXZ458733 HHV458733 HRR458733 IBN458733 ILJ458733 IVF458733 JFB458733 JOX458733 JYT458733 KIP458733 KSL458733 LCH458733 LMD458733 LVZ458733 MFV458733 MPR458733 MZN458733 NJJ458733 NTF458733 ODB458733 OMX458733 OWT458733 PGP458733 PQL458733 QAH458733 QKD458733 QTZ458733 RDV458733 RNR458733 RXN458733 SHJ458733 SRF458733 TBB458733 TKX458733 TUT458733 UEP458733 UOL458733 UYH458733 VID458733 VRZ458733 WBV458733 WLR458733 WVN458733 D524269:F524269 JB524269 SX524269 ACT524269 AMP524269 AWL524269 BGH524269 BQD524269 BZZ524269 CJV524269 CTR524269 DDN524269 DNJ524269 DXF524269 EHB524269 EQX524269 FAT524269 FKP524269 FUL524269 GEH524269 GOD524269 GXZ524269 HHV524269 HRR524269 IBN524269 ILJ524269 IVF524269 JFB524269 JOX524269 JYT524269 KIP524269 KSL524269 LCH524269 LMD524269 LVZ524269 MFV524269 MPR524269 MZN524269 NJJ524269 NTF524269 ODB524269 OMX524269 OWT524269 PGP524269 PQL524269 QAH524269 QKD524269 QTZ524269 RDV524269 RNR524269 RXN524269 SHJ524269 SRF524269 TBB524269 TKX524269 TUT524269 UEP524269 UOL524269 UYH524269 VID524269 VRZ524269 WBV524269 WLR524269 WVN524269 D589805:F589805 JB589805 SX589805 ACT589805 AMP589805 AWL589805 BGH589805 BQD589805 BZZ589805 CJV589805 CTR589805 DDN589805 DNJ589805 DXF589805 EHB589805 EQX589805 FAT589805 FKP589805 FUL589805 GEH589805 GOD589805 GXZ589805 HHV589805 HRR589805 IBN589805 ILJ589805 IVF589805 JFB589805 JOX589805 JYT589805 KIP589805 KSL589805 LCH589805 LMD589805 LVZ589805 MFV589805 MPR589805 MZN589805 NJJ589805 NTF589805 ODB589805 OMX589805 OWT589805 PGP589805 PQL589805 QAH589805 QKD589805 QTZ589805 RDV589805 RNR589805 RXN589805 SHJ589805 SRF589805 TBB589805 TKX589805 TUT589805 UEP589805 UOL589805 UYH589805 VID589805 VRZ589805 WBV589805 WLR589805 WVN589805 D655341:F655341 JB655341 SX655341 ACT655341 AMP655341 AWL655341 BGH655341 BQD655341 BZZ655341 CJV655341 CTR655341 DDN655341 DNJ655341 DXF655341 EHB655341 EQX655341 FAT655341 FKP655341 FUL655341 GEH655341 GOD655341 GXZ655341 HHV655341 HRR655341 IBN655341 ILJ655341 IVF655341 JFB655341 JOX655341 JYT655341 KIP655341 KSL655341 LCH655341 LMD655341 LVZ655341 MFV655341 MPR655341 MZN655341 NJJ655341 NTF655341 ODB655341 OMX655341 OWT655341 PGP655341 PQL655341 QAH655341 QKD655341 QTZ655341 RDV655341 RNR655341 RXN655341 SHJ655341 SRF655341 TBB655341 TKX655341 TUT655341 UEP655341 UOL655341 UYH655341 VID655341 VRZ655341 WBV655341 WLR655341 WVN655341 D720877:F720877 JB720877 SX720877 ACT720877 AMP720877 AWL720877 BGH720877 BQD720877 BZZ720877 CJV720877 CTR720877 DDN720877 DNJ720877 DXF720877 EHB720877 EQX720877 FAT720877 FKP720877 FUL720877 GEH720877 GOD720877 GXZ720877 HHV720877 HRR720877 IBN720877 ILJ720877 IVF720877 JFB720877 JOX720877 JYT720877 KIP720877 KSL720877 LCH720877 LMD720877 LVZ720877 MFV720877 MPR720877 MZN720877 NJJ720877 NTF720877 ODB720877 OMX720877 OWT720877 PGP720877 PQL720877 QAH720877 QKD720877 QTZ720877 RDV720877 RNR720877 RXN720877 SHJ720877 SRF720877 TBB720877 TKX720877 TUT720877 UEP720877 UOL720877 UYH720877 VID720877 VRZ720877 WBV720877 WLR720877 WVN720877 D786413:F786413 JB786413 SX786413 ACT786413 AMP786413 AWL786413 BGH786413 BQD786413 BZZ786413 CJV786413 CTR786413 DDN786413 DNJ786413 DXF786413 EHB786413 EQX786413 FAT786413 FKP786413 FUL786413 GEH786413 GOD786413 GXZ786413 HHV786413 HRR786413 IBN786413 ILJ786413 IVF786413 JFB786413 JOX786413 JYT786413 KIP786413 KSL786413 LCH786413 LMD786413 LVZ786413 MFV786413 MPR786413 MZN786413 NJJ786413 NTF786413 ODB786413 OMX786413 OWT786413 PGP786413 PQL786413 QAH786413 QKD786413 QTZ786413 RDV786413 RNR786413 RXN786413 SHJ786413 SRF786413 TBB786413 TKX786413 TUT786413 UEP786413 UOL786413 UYH786413 VID786413 VRZ786413 WBV786413 WLR786413 WVN786413 D851949:F851949 JB851949 SX851949 ACT851949 AMP851949 AWL851949 BGH851949 BQD851949 BZZ851949 CJV851949 CTR851949 DDN851949 DNJ851949 DXF851949 EHB851949 EQX851949 FAT851949 FKP851949 FUL851949 GEH851949 GOD851949 GXZ851949 HHV851949 HRR851949 IBN851949 ILJ851949 IVF851949 JFB851949 JOX851949 JYT851949 KIP851949 KSL851949 LCH851949 LMD851949 LVZ851949 MFV851949 MPR851949 MZN851949 NJJ851949 NTF851949 ODB851949 OMX851949 OWT851949 PGP851949 PQL851949 QAH851949 QKD851949 QTZ851949 RDV851949 RNR851949 RXN851949 SHJ851949 SRF851949 TBB851949 TKX851949 TUT851949 UEP851949 UOL851949 UYH851949 VID851949 VRZ851949 WBV851949 WLR851949 WVN851949 D917485:F917485 JB917485 SX917485 ACT917485 AMP917485 AWL917485 BGH917485 BQD917485 BZZ917485 CJV917485 CTR917485 DDN917485 DNJ917485 DXF917485 EHB917485 EQX917485 FAT917485 FKP917485 FUL917485 GEH917485 GOD917485 GXZ917485 HHV917485 HRR917485 IBN917485 ILJ917485 IVF917485 JFB917485 JOX917485 JYT917485 KIP917485 KSL917485 LCH917485 LMD917485 LVZ917485 MFV917485 MPR917485 MZN917485 NJJ917485 NTF917485 ODB917485 OMX917485 OWT917485 PGP917485 PQL917485 QAH917485 QKD917485 QTZ917485 RDV917485 RNR917485 RXN917485 SHJ917485 SRF917485 TBB917485 TKX917485 TUT917485 UEP917485 UOL917485 UYH917485 VID917485 VRZ917485 WBV917485 WLR917485 WVN917485 D983021:F983021 JB983021 SX983021 ACT983021 AMP983021 AWL983021 BGH983021 BQD983021 BZZ983021 CJV983021 CTR983021 DDN983021 DNJ983021 DXF983021 EHB983021 EQX983021 FAT983021 FKP983021 FUL983021 GEH983021 GOD983021 GXZ983021 HHV983021 HRR983021 IBN983021 ILJ983021 IVF983021 JFB983021 JOX983021 JYT983021 KIP983021 KSL983021 LCH983021 LMD983021 LVZ983021 MFV983021 MPR983021 MZN983021 NJJ983021 NTF983021 ODB983021 OMX983021 OWT983021 PGP983021 PQL983021 QAH983021 QKD983021 QTZ983021 RDV983021 RNR983021 RXN983021 SHJ983021 SRF983021 TBB983021 TKX983021 TUT983021 UEP983021 UOL983021 UYH983021 VID983021 VRZ983021 WBV983021 WLR983021 WVN983021" xr:uid="{88BAE57D-D17C-4B78-ADA3-73B90159710C}">
      <formula1>VanoMet</formula1>
    </dataValidation>
    <dataValidation type="decimal" allowBlank="1" showInputMessage="1" showErrorMessage="1" sqref="G36 JC36 SY36 ACU36 AMQ36 AWM36 BGI36 BQE36 CAA36 CJW36 CTS36 DDO36 DNK36 DXG36 EHC36 EQY36 FAU36 FKQ36 FUM36 GEI36 GOE36 GYA36 HHW36 HRS36 IBO36 ILK36 IVG36 JFC36 JOY36 JYU36 KIQ36 KSM36 LCI36 LME36 LWA36 MFW36 MPS36 MZO36 NJK36 NTG36 ODC36 OMY36 OWU36 PGQ36 PQM36 QAI36 QKE36 QUA36 RDW36 RNS36 RXO36 SHK36 SRG36 TBC36 TKY36 TUU36 UEQ36 UOM36 UYI36 VIE36 VSA36 WBW36 WLS36 WVO36 G65561 JC65561 SY65561 ACU65561 AMQ65561 AWM65561 BGI65561 BQE65561 CAA65561 CJW65561 CTS65561 DDO65561 DNK65561 DXG65561 EHC65561 EQY65561 FAU65561 FKQ65561 FUM65561 GEI65561 GOE65561 GYA65561 HHW65561 HRS65561 IBO65561 ILK65561 IVG65561 JFC65561 JOY65561 JYU65561 KIQ65561 KSM65561 LCI65561 LME65561 LWA65561 MFW65561 MPS65561 MZO65561 NJK65561 NTG65561 ODC65561 OMY65561 OWU65561 PGQ65561 PQM65561 QAI65561 QKE65561 QUA65561 RDW65561 RNS65561 RXO65561 SHK65561 SRG65561 TBC65561 TKY65561 TUU65561 UEQ65561 UOM65561 UYI65561 VIE65561 VSA65561 WBW65561 WLS65561 WVO65561 G131097 JC131097 SY131097 ACU131097 AMQ131097 AWM131097 BGI131097 BQE131097 CAA131097 CJW131097 CTS131097 DDO131097 DNK131097 DXG131097 EHC131097 EQY131097 FAU131097 FKQ131097 FUM131097 GEI131097 GOE131097 GYA131097 HHW131097 HRS131097 IBO131097 ILK131097 IVG131097 JFC131097 JOY131097 JYU131097 KIQ131097 KSM131097 LCI131097 LME131097 LWA131097 MFW131097 MPS131097 MZO131097 NJK131097 NTG131097 ODC131097 OMY131097 OWU131097 PGQ131097 PQM131097 QAI131097 QKE131097 QUA131097 RDW131097 RNS131097 RXO131097 SHK131097 SRG131097 TBC131097 TKY131097 TUU131097 UEQ131097 UOM131097 UYI131097 VIE131097 VSA131097 WBW131097 WLS131097 WVO131097 G196633 JC196633 SY196633 ACU196633 AMQ196633 AWM196633 BGI196633 BQE196633 CAA196633 CJW196633 CTS196633 DDO196633 DNK196633 DXG196633 EHC196633 EQY196633 FAU196633 FKQ196633 FUM196633 GEI196633 GOE196633 GYA196633 HHW196633 HRS196633 IBO196633 ILK196633 IVG196633 JFC196633 JOY196633 JYU196633 KIQ196633 KSM196633 LCI196633 LME196633 LWA196633 MFW196633 MPS196633 MZO196633 NJK196633 NTG196633 ODC196633 OMY196633 OWU196633 PGQ196633 PQM196633 QAI196633 QKE196633 QUA196633 RDW196633 RNS196633 RXO196633 SHK196633 SRG196633 TBC196633 TKY196633 TUU196633 UEQ196633 UOM196633 UYI196633 VIE196633 VSA196633 WBW196633 WLS196633 WVO196633 G262169 JC262169 SY262169 ACU262169 AMQ262169 AWM262169 BGI262169 BQE262169 CAA262169 CJW262169 CTS262169 DDO262169 DNK262169 DXG262169 EHC262169 EQY262169 FAU262169 FKQ262169 FUM262169 GEI262169 GOE262169 GYA262169 HHW262169 HRS262169 IBO262169 ILK262169 IVG262169 JFC262169 JOY262169 JYU262169 KIQ262169 KSM262169 LCI262169 LME262169 LWA262169 MFW262169 MPS262169 MZO262169 NJK262169 NTG262169 ODC262169 OMY262169 OWU262169 PGQ262169 PQM262169 QAI262169 QKE262169 QUA262169 RDW262169 RNS262169 RXO262169 SHK262169 SRG262169 TBC262169 TKY262169 TUU262169 UEQ262169 UOM262169 UYI262169 VIE262169 VSA262169 WBW262169 WLS262169 WVO262169 G327705 JC327705 SY327705 ACU327705 AMQ327705 AWM327705 BGI327705 BQE327705 CAA327705 CJW327705 CTS327705 DDO327705 DNK327705 DXG327705 EHC327705 EQY327705 FAU327705 FKQ327705 FUM327705 GEI327705 GOE327705 GYA327705 HHW327705 HRS327705 IBO327705 ILK327705 IVG327705 JFC327705 JOY327705 JYU327705 KIQ327705 KSM327705 LCI327705 LME327705 LWA327705 MFW327705 MPS327705 MZO327705 NJK327705 NTG327705 ODC327705 OMY327705 OWU327705 PGQ327705 PQM327705 QAI327705 QKE327705 QUA327705 RDW327705 RNS327705 RXO327705 SHK327705 SRG327705 TBC327705 TKY327705 TUU327705 UEQ327705 UOM327705 UYI327705 VIE327705 VSA327705 WBW327705 WLS327705 WVO327705 G393241 JC393241 SY393241 ACU393241 AMQ393241 AWM393241 BGI393241 BQE393241 CAA393241 CJW393241 CTS393241 DDO393241 DNK393241 DXG393241 EHC393241 EQY393241 FAU393241 FKQ393241 FUM393241 GEI393241 GOE393241 GYA393241 HHW393241 HRS393241 IBO393241 ILK393241 IVG393241 JFC393241 JOY393241 JYU393241 KIQ393241 KSM393241 LCI393241 LME393241 LWA393241 MFW393241 MPS393241 MZO393241 NJK393241 NTG393241 ODC393241 OMY393241 OWU393241 PGQ393241 PQM393241 QAI393241 QKE393241 QUA393241 RDW393241 RNS393241 RXO393241 SHK393241 SRG393241 TBC393241 TKY393241 TUU393241 UEQ393241 UOM393241 UYI393241 VIE393241 VSA393241 WBW393241 WLS393241 WVO393241 G458777 JC458777 SY458777 ACU458777 AMQ458777 AWM458777 BGI458777 BQE458777 CAA458777 CJW458777 CTS458777 DDO458777 DNK458777 DXG458777 EHC458777 EQY458777 FAU458777 FKQ458777 FUM458777 GEI458777 GOE458777 GYA458777 HHW458777 HRS458777 IBO458777 ILK458777 IVG458777 JFC458777 JOY458777 JYU458777 KIQ458777 KSM458777 LCI458777 LME458777 LWA458777 MFW458777 MPS458777 MZO458777 NJK458777 NTG458777 ODC458777 OMY458777 OWU458777 PGQ458777 PQM458777 QAI458777 QKE458777 QUA458777 RDW458777 RNS458777 RXO458777 SHK458777 SRG458777 TBC458777 TKY458777 TUU458777 UEQ458777 UOM458777 UYI458777 VIE458777 VSA458777 WBW458777 WLS458777 WVO458777 G524313 JC524313 SY524313 ACU524313 AMQ524313 AWM524313 BGI524313 BQE524313 CAA524313 CJW524313 CTS524313 DDO524313 DNK524313 DXG524313 EHC524313 EQY524313 FAU524313 FKQ524313 FUM524313 GEI524313 GOE524313 GYA524313 HHW524313 HRS524313 IBO524313 ILK524313 IVG524313 JFC524313 JOY524313 JYU524313 KIQ524313 KSM524313 LCI524313 LME524313 LWA524313 MFW524313 MPS524313 MZO524313 NJK524313 NTG524313 ODC524313 OMY524313 OWU524313 PGQ524313 PQM524313 QAI524313 QKE524313 QUA524313 RDW524313 RNS524313 RXO524313 SHK524313 SRG524313 TBC524313 TKY524313 TUU524313 UEQ524313 UOM524313 UYI524313 VIE524313 VSA524313 WBW524313 WLS524313 WVO524313 G589849 JC589849 SY589849 ACU589849 AMQ589849 AWM589849 BGI589849 BQE589849 CAA589849 CJW589849 CTS589849 DDO589849 DNK589849 DXG589849 EHC589849 EQY589849 FAU589849 FKQ589849 FUM589849 GEI589849 GOE589849 GYA589849 HHW589849 HRS589849 IBO589849 ILK589849 IVG589849 JFC589849 JOY589849 JYU589849 KIQ589849 KSM589849 LCI589849 LME589849 LWA589849 MFW589849 MPS589849 MZO589849 NJK589849 NTG589849 ODC589849 OMY589849 OWU589849 PGQ589849 PQM589849 QAI589849 QKE589849 QUA589849 RDW589849 RNS589849 RXO589849 SHK589849 SRG589849 TBC589849 TKY589849 TUU589849 UEQ589849 UOM589849 UYI589849 VIE589849 VSA589849 WBW589849 WLS589849 WVO589849 G655385 JC655385 SY655385 ACU655385 AMQ655385 AWM655385 BGI655385 BQE655385 CAA655385 CJW655385 CTS655385 DDO655385 DNK655385 DXG655385 EHC655385 EQY655385 FAU655385 FKQ655385 FUM655385 GEI655385 GOE655385 GYA655385 HHW655385 HRS655385 IBO655385 ILK655385 IVG655385 JFC655385 JOY655385 JYU655385 KIQ655385 KSM655385 LCI655385 LME655385 LWA655385 MFW655385 MPS655385 MZO655385 NJK655385 NTG655385 ODC655385 OMY655385 OWU655385 PGQ655385 PQM655385 QAI655385 QKE655385 QUA655385 RDW655385 RNS655385 RXO655385 SHK655385 SRG655385 TBC655385 TKY655385 TUU655385 UEQ655385 UOM655385 UYI655385 VIE655385 VSA655385 WBW655385 WLS655385 WVO655385 G720921 JC720921 SY720921 ACU720921 AMQ720921 AWM720921 BGI720921 BQE720921 CAA720921 CJW720921 CTS720921 DDO720921 DNK720921 DXG720921 EHC720921 EQY720921 FAU720921 FKQ720921 FUM720921 GEI720921 GOE720921 GYA720921 HHW720921 HRS720921 IBO720921 ILK720921 IVG720921 JFC720921 JOY720921 JYU720921 KIQ720921 KSM720921 LCI720921 LME720921 LWA720921 MFW720921 MPS720921 MZO720921 NJK720921 NTG720921 ODC720921 OMY720921 OWU720921 PGQ720921 PQM720921 QAI720921 QKE720921 QUA720921 RDW720921 RNS720921 RXO720921 SHK720921 SRG720921 TBC720921 TKY720921 TUU720921 UEQ720921 UOM720921 UYI720921 VIE720921 VSA720921 WBW720921 WLS720921 WVO720921 G786457 JC786457 SY786457 ACU786457 AMQ786457 AWM786457 BGI786457 BQE786457 CAA786457 CJW786457 CTS786457 DDO786457 DNK786457 DXG786457 EHC786457 EQY786457 FAU786457 FKQ786457 FUM786457 GEI786457 GOE786457 GYA786457 HHW786457 HRS786457 IBO786457 ILK786457 IVG786457 JFC786457 JOY786457 JYU786457 KIQ786457 KSM786457 LCI786457 LME786457 LWA786457 MFW786457 MPS786457 MZO786457 NJK786457 NTG786457 ODC786457 OMY786457 OWU786457 PGQ786457 PQM786457 QAI786457 QKE786457 QUA786457 RDW786457 RNS786457 RXO786457 SHK786457 SRG786457 TBC786457 TKY786457 TUU786457 UEQ786457 UOM786457 UYI786457 VIE786457 VSA786457 WBW786457 WLS786457 WVO786457 G851993 JC851993 SY851993 ACU851993 AMQ851993 AWM851993 BGI851993 BQE851993 CAA851993 CJW851993 CTS851993 DDO851993 DNK851993 DXG851993 EHC851993 EQY851993 FAU851993 FKQ851993 FUM851993 GEI851993 GOE851993 GYA851993 HHW851993 HRS851993 IBO851993 ILK851993 IVG851993 JFC851993 JOY851993 JYU851993 KIQ851993 KSM851993 LCI851993 LME851993 LWA851993 MFW851993 MPS851993 MZO851993 NJK851993 NTG851993 ODC851993 OMY851993 OWU851993 PGQ851993 PQM851993 QAI851993 QKE851993 QUA851993 RDW851993 RNS851993 RXO851993 SHK851993 SRG851993 TBC851993 TKY851993 TUU851993 UEQ851993 UOM851993 UYI851993 VIE851993 VSA851993 WBW851993 WLS851993 WVO851993 G917529 JC917529 SY917529 ACU917529 AMQ917529 AWM917529 BGI917529 BQE917529 CAA917529 CJW917529 CTS917529 DDO917529 DNK917529 DXG917529 EHC917529 EQY917529 FAU917529 FKQ917529 FUM917529 GEI917529 GOE917529 GYA917529 HHW917529 HRS917529 IBO917529 ILK917529 IVG917529 JFC917529 JOY917529 JYU917529 KIQ917529 KSM917529 LCI917529 LME917529 LWA917529 MFW917529 MPS917529 MZO917529 NJK917529 NTG917529 ODC917529 OMY917529 OWU917529 PGQ917529 PQM917529 QAI917529 QKE917529 QUA917529 RDW917529 RNS917529 RXO917529 SHK917529 SRG917529 TBC917529 TKY917529 TUU917529 UEQ917529 UOM917529 UYI917529 VIE917529 VSA917529 WBW917529 WLS917529 WVO917529 G983065 JC983065 SY983065 ACU983065 AMQ983065 AWM983065 BGI983065 BQE983065 CAA983065 CJW983065 CTS983065 DDO983065 DNK983065 DXG983065 EHC983065 EQY983065 FAU983065 FKQ983065 FUM983065 GEI983065 GOE983065 GYA983065 HHW983065 HRS983065 IBO983065 ILK983065 IVG983065 JFC983065 JOY983065 JYU983065 KIQ983065 KSM983065 LCI983065 LME983065 LWA983065 MFW983065 MPS983065 MZO983065 NJK983065 NTG983065 ODC983065 OMY983065 OWU983065 PGQ983065 PQM983065 QAI983065 QKE983065 QUA983065 RDW983065 RNS983065 RXO983065 SHK983065 SRG983065 TBC983065 TKY983065 TUU983065 UEQ983065 UOM983065 UYI983065 VIE983065 VSA983065 WBW983065 WLS983065 WVO983065 G9 JC9 SY9 ACU9 AMQ9 AWM9 BGI9 BQE9 CAA9 CJW9 CTS9 DDO9 DNK9 DXG9 EHC9 EQY9 FAU9 FKQ9 FUM9 GEI9 GOE9 GYA9 HHW9 HRS9 IBO9 ILK9 IVG9 JFC9 JOY9 JYU9 KIQ9 KSM9 LCI9 LME9 LWA9 MFW9 MPS9 MZO9 NJK9 NTG9 ODC9 OMY9 OWU9 PGQ9 PQM9 QAI9 QKE9 QUA9 RDW9 RNS9 RXO9 SHK9 SRG9 TBC9 TKY9 TUU9 UEQ9 UOM9 UYI9 VIE9 VSA9 WBW9 WLS9 WVO9 G65526 JC65526 SY65526 ACU65526 AMQ65526 AWM65526 BGI65526 BQE65526 CAA65526 CJW65526 CTS65526 DDO65526 DNK65526 DXG65526 EHC65526 EQY65526 FAU65526 FKQ65526 FUM65526 GEI65526 GOE65526 GYA65526 HHW65526 HRS65526 IBO65526 ILK65526 IVG65526 JFC65526 JOY65526 JYU65526 KIQ65526 KSM65526 LCI65526 LME65526 LWA65526 MFW65526 MPS65526 MZO65526 NJK65526 NTG65526 ODC65526 OMY65526 OWU65526 PGQ65526 PQM65526 QAI65526 QKE65526 QUA65526 RDW65526 RNS65526 RXO65526 SHK65526 SRG65526 TBC65526 TKY65526 TUU65526 UEQ65526 UOM65526 UYI65526 VIE65526 VSA65526 WBW65526 WLS65526 WVO65526 G131062 JC131062 SY131062 ACU131062 AMQ131062 AWM131062 BGI131062 BQE131062 CAA131062 CJW131062 CTS131062 DDO131062 DNK131062 DXG131062 EHC131062 EQY131062 FAU131062 FKQ131062 FUM131062 GEI131062 GOE131062 GYA131062 HHW131062 HRS131062 IBO131062 ILK131062 IVG131062 JFC131062 JOY131062 JYU131062 KIQ131062 KSM131062 LCI131062 LME131062 LWA131062 MFW131062 MPS131062 MZO131062 NJK131062 NTG131062 ODC131062 OMY131062 OWU131062 PGQ131062 PQM131062 QAI131062 QKE131062 QUA131062 RDW131062 RNS131062 RXO131062 SHK131062 SRG131062 TBC131062 TKY131062 TUU131062 UEQ131062 UOM131062 UYI131062 VIE131062 VSA131062 WBW131062 WLS131062 WVO131062 G196598 JC196598 SY196598 ACU196598 AMQ196598 AWM196598 BGI196598 BQE196598 CAA196598 CJW196598 CTS196598 DDO196598 DNK196598 DXG196598 EHC196598 EQY196598 FAU196598 FKQ196598 FUM196598 GEI196598 GOE196598 GYA196598 HHW196598 HRS196598 IBO196598 ILK196598 IVG196598 JFC196598 JOY196598 JYU196598 KIQ196598 KSM196598 LCI196598 LME196598 LWA196598 MFW196598 MPS196598 MZO196598 NJK196598 NTG196598 ODC196598 OMY196598 OWU196598 PGQ196598 PQM196598 QAI196598 QKE196598 QUA196598 RDW196598 RNS196598 RXO196598 SHK196598 SRG196598 TBC196598 TKY196598 TUU196598 UEQ196598 UOM196598 UYI196598 VIE196598 VSA196598 WBW196598 WLS196598 WVO196598 G262134 JC262134 SY262134 ACU262134 AMQ262134 AWM262134 BGI262134 BQE262134 CAA262134 CJW262134 CTS262134 DDO262134 DNK262134 DXG262134 EHC262134 EQY262134 FAU262134 FKQ262134 FUM262134 GEI262134 GOE262134 GYA262134 HHW262134 HRS262134 IBO262134 ILK262134 IVG262134 JFC262134 JOY262134 JYU262134 KIQ262134 KSM262134 LCI262134 LME262134 LWA262134 MFW262134 MPS262134 MZO262134 NJK262134 NTG262134 ODC262134 OMY262134 OWU262134 PGQ262134 PQM262134 QAI262134 QKE262134 QUA262134 RDW262134 RNS262134 RXO262134 SHK262134 SRG262134 TBC262134 TKY262134 TUU262134 UEQ262134 UOM262134 UYI262134 VIE262134 VSA262134 WBW262134 WLS262134 WVO262134 G327670 JC327670 SY327670 ACU327670 AMQ327670 AWM327670 BGI327670 BQE327670 CAA327670 CJW327670 CTS327670 DDO327670 DNK327670 DXG327670 EHC327670 EQY327670 FAU327670 FKQ327670 FUM327670 GEI327670 GOE327670 GYA327670 HHW327670 HRS327670 IBO327670 ILK327670 IVG327670 JFC327670 JOY327670 JYU327670 KIQ327670 KSM327670 LCI327670 LME327670 LWA327670 MFW327670 MPS327670 MZO327670 NJK327670 NTG327670 ODC327670 OMY327670 OWU327670 PGQ327670 PQM327670 QAI327670 QKE327670 QUA327670 RDW327670 RNS327670 RXO327670 SHK327670 SRG327670 TBC327670 TKY327670 TUU327670 UEQ327670 UOM327670 UYI327670 VIE327670 VSA327670 WBW327670 WLS327670 WVO327670 G393206 JC393206 SY393206 ACU393206 AMQ393206 AWM393206 BGI393206 BQE393206 CAA393206 CJW393206 CTS393206 DDO393206 DNK393206 DXG393206 EHC393206 EQY393206 FAU393206 FKQ393206 FUM393206 GEI393206 GOE393206 GYA393206 HHW393206 HRS393206 IBO393206 ILK393206 IVG393206 JFC393206 JOY393206 JYU393206 KIQ393206 KSM393206 LCI393206 LME393206 LWA393206 MFW393206 MPS393206 MZO393206 NJK393206 NTG393206 ODC393206 OMY393206 OWU393206 PGQ393206 PQM393206 QAI393206 QKE393206 QUA393206 RDW393206 RNS393206 RXO393206 SHK393206 SRG393206 TBC393206 TKY393206 TUU393206 UEQ393206 UOM393206 UYI393206 VIE393206 VSA393206 WBW393206 WLS393206 WVO393206 G458742 JC458742 SY458742 ACU458742 AMQ458742 AWM458742 BGI458742 BQE458742 CAA458742 CJW458742 CTS458742 DDO458742 DNK458742 DXG458742 EHC458742 EQY458742 FAU458742 FKQ458742 FUM458742 GEI458742 GOE458742 GYA458742 HHW458742 HRS458742 IBO458742 ILK458742 IVG458742 JFC458742 JOY458742 JYU458742 KIQ458742 KSM458742 LCI458742 LME458742 LWA458742 MFW458742 MPS458742 MZO458742 NJK458742 NTG458742 ODC458742 OMY458742 OWU458742 PGQ458742 PQM458742 QAI458742 QKE458742 QUA458742 RDW458742 RNS458742 RXO458742 SHK458742 SRG458742 TBC458742 TKY458742 TUU458742 UEQ458742 UOM458742 UYI458742 VIE458742 VSA458742 WBW458742 WLS458742 WVO458742 G524278 JC524278 SY524278 ACU524278 AMQ524278 AWM524278 BGI524278 BQE524278 CAA524278 CJW524278 CTS524278 DDO524278 DNK524278 DXG524278 EHC524278 EQY524278 FAU524278 FKQ524278 FUM524278 GEI524278 GOE524278 GYA524278 HHW524278 HRS524278 IBO524278 ILK524278 IVG524278 JFC524278 JOY524278 JYU524278 KIQ524278 KSM524278 LCI524278 LME524278 LWA524278 MFW524278 MPS524278 MZO524278 NJK524278 NTG524278 ODC524278 OMY524278 OWU524278 PGQ524278 PQM524278 QAI524278 QKE524278 QUA524278 RDW524278 RNS524278 RXO524278 SHK524278 SRG524278 TBC524278 TKY524278 TUU524278 UEQ524278 UOM524278 UYI524278 VIE524278 VSA524278 WBW524278 WLS524278 WVO524278 G589814 JC589814 SY589814 ACU589814 AMQ589814 AWM589814 BGI589814 BQE589814 CAA589814 CJW589814 CTS589814 DDO589814 DNK589814 DXG589814 EHC589814 EQY589814 FAU589814 FKQ589814 FUM589814 GEI589814 GOE589814 GYA589814 HHW589814 HRS589814 IBO589814 ILK589814 IVG589814 JFC589814 JOY589814 JYU589814 KIQ589814 KSM589814 LCI589814 LME589814 LWA589814 MFW589814 MPS589814 MZO589814 NJK589814 NTG589814 ODC589814 OMY589814 OWU589814 PGQ589814 PQM589814 QAI589814 QKE589814 QUA589814 RDW589814 RNS589814 RXO589814 SHK589814 SRG589814 TBC589814 TKY589814 TUU589814 UEQ589814 UOM589814 UYI589814 VIE589814 VSA589814 WBW589814 WLS589814 WVO589814 G655350 JC655350 SY655350 ACU655350 AMQ655350 AWM655350 BGI655350 BQE655350 CAA655350 CJW655350 CTS655350 DDO655350 DNK655350 DXG655350 EHC655350 EQY655350 FAU655350 FKQ655350 FUM655350 GEI655350 GOE655350 GYA655350 HHW655350 HRS655350 IBO655350 ILK655350 IVG655350 JFC655350 JOY655350 JYU655350 KIQ655350 KSM655350 LCI655350 LME655350 LWA655350 MFW655350 MPS655350 MZO655350 NJK655350 NTG655350 ODC655350 OMY655350 OWU655350 PGQ655350 PQM655350 QAI655350 QKE655350 QUA655350 RDW655350 RNS655350 RXO655350 SHK655350 SRG655350 TBC655350 TKY655350 TUU655350 UEQ655350 UOM655350 UYI655350 VIE655350 VSA655350 WBW655350 WLS655350 WVO655350 G720886 JC720886 SY720886 ACU720886 AMQ720886 AWM720886 BGI720886 BQE720886 CAA720886 CJW720886 CTS720886 DDO720886 DNK720886 DXG720886 EHC720886 EQY720886 FAU720886 FKQ720886 FUM720886 GEI720886 GOE720886 GYA720886 HHW720886 HRS720886 IBO720886 ILK720886 IVG720886 JFC720886 JOY720886 JYU720886 KIQ720886 KSM720886 LCI720886 LME720886 LWA720886 MFW720886 MPS720886 MZO720886 NJK720886 NTG720886 ODC720886 OMY720886 OWU720886 PGQ720886 PQM720886 QAI720886 QKE720886 QUA720886 RDW720886 RNS720886 RXO720886 SHK720886 SRG720886 TBC720886 TKY720886 TUU720886 UEQ720886 UOM720886 UYI720886 VIE720886 VSA720886 WBW720886 WLS720886 WVO720886 G786422 JC786422 SY786422 ACU786422 AMQ786422 AWM786422 BGI786422 BQE786422 CAA786422 CJW786422 CTS786422 DDO786422 DNK786422 DXG786422 EHC786422 EQY786422 FAU786422 FKQ786422 FUM786422 GEI786422 GOE786422 GYA786422 HHW786422 HRS786422 IBO786422 ILK786422 IVG786422 JFC786422 JOY786422 JYU786422 KIQ786422 KSM786422 LCI786422 LME786422 LWA786422 MFW786422 MPS786422 MZO786422 NJK786422 NTG786422 ODC786422 OMY786422 OWU786422 PGQ786422 PQM786422 QAI786422 QKE786422 QUA786422 RDW786422 RNS786422 RXO786422 SHK786422 SRG786422 TBC786422 TKY786422 TUU786422 UEQ786422 UOM786422 UYI786422 VIE786422 VSA786422 WBW786422 WLS786422 WVO786422 G851958 JC851958 SY851958 ACU851958 AMQ851958 AWM851958 BGI851958 BQE851958 CAA851958 CJW851958 CTS851958 DDO851958 DNK851958 DXG851958 EHC851958 EQY851958 FAU851958 FKQ851958 FUM851958 GEI851958 GOE851958 GYA851958 HHW851958 HRS851958 IBO851958 ILK851958 IVG851958 JFC851958 JOY851958 JYU851958 KIQ851958 KSM851958 LCI851958 LME851958 LWA851958 MFW851958 MPS851958 MZO851958 NJK851958 NTG851958 ODC851958 OMY851958 OWU851958 PGQ851958 PQM851958 QAI851958 QKE851958 QUA851958 RDW851958 RNS851958 RXO851958 SHK851958 SRG851958 TBC851958 TKY851958 TUU851958 UEQ851958 UOM851958 UYI851958 VIE851958 VSA851958 WBW851958 WLS851958 WVO851958 G917494 JC917494 SY917494 ACU917494 AMQ917494 AWM917494 BGI917494 BQE917494 CAA917494 CJW917494 CTS917494 DDO917494 DNK917494 DXG917494 EHC917494 EQY917494 FAU917494 FKQ917494 FUM917494 GEI917494 GOE917494 GYA917494 HHW917494 HRS917494 IBO917494 ILK917494 IVG917494 JFC917494 JOY917494 JYU917494 KIQ917494 KSM917494 LCI917494 LME917494 LWA917494 MFW917494 MPS917494 MZO917494 NJK917494 NTG917494 ODC917494 OMY917494 OWU917494 PGQ917494 PQM917494 QAI917494 QKE917494 QUA917494 RDW917494 RNS917494 RXO917494 SHK917494 SRG917494 TBC917494 TKY917494 TUU917494 UEQ917494 UOM917494 UYI917494 VIE917494 VSA917494 WBW917494 WLS917494 WVO917494 G983030 JC983030 SY983030 ACU983030 AMQ983030 AWM983030 BGI983030 BQE983030 CAA983030 CJW983030 CTS983030 DDO983030 DNK983030 DXG983030 EHC983030 EQY983030 FAU983030 FKQ983030 FUM983030 GEI983030 GOE983030 GYA983030 HHW983030 HRS983030 IBO983030 ILK983030 IVG983030 JFC983030 JOY983030 JYU983030 KIQ983030 KSM983030 LCI983030 LME983030 LWA983030 MFW983030 MPS983030 MZO983030 NJK983030 NTG983030 ODC983030 OMY983030 OWU983030 PGQ983030 PQM983030 QAI983030 QKE983030 QUA983030 RDW983030 RNS983030 RXO983030 SHK983030 SRG983030 TBC983030 TKY983030 TUU983030 UEQ983030 UOM983030 UYI983030 VIE983030 VSA983030 WBW983030 WLS983030 WVO983030 G11 JC11 SY11 ACU11 AMQ11 AWM11 BGI11 BQE11 CAA11 CJW11 CTS11 DDO11 DNK11 DXG11 EHC11 EQY11 FAU11 FKQ11 FUM11 GEI11 GOE11 GYA11 HHW11 HRS11 IBO11 ILK11 IVG11 JFC11 JOY11 JYU11 KIQ11 KSM11 LCI11 LME11 LWA11 MFW11 MPS11 MZO11 NJK11 NTG11 ODC11 OMY11 OWU11 PGQ11 PQM11 QAI11 QKE11 QUA11 RDW11 RNS11 RXO11 SHK11 SRG11 TBC11 TKY11 TUU11 UEQ11 UOM11 UYI11 VIE11 VSA11 WBW11 WLS11 WVO11 G65528 JC65528 SY65528 ACU65528 AMQ65528 AWM65528 BGI65528 BQE65528 CAA65528 CJW65528 CTS65528 DDO65528 DNK65528 DXG65528 EHC65528 EQY65528 FAU65528 FKQ65528 FUM65528 GEI65528 GOE65528 GYA65528 HHW65528 HRS65528 IBO65528 ILK65528 IVG65528 JFC65528 JOY65528 JYU65528 KIQ65528 KSM65528 LCI65528 LME65528 LWA65528 MFW65528 MPS65528 MZO65528 NJK65528 NTG65528 ODC65528 OMY65528 OWU65528 PGQ65528 PQM65528 QAI65528 QKE65528 QUA65528 RDW65528 RNS65528 RXO65528 SHK65528 SRG65528 TBC65528 TKY65528 TUU65528 UEQ65528 UOM65528 UYI65528 VIE65528 VSA65528 WBW65528 WLS65528 WVO65528 G131064 JC131064 SY131064 ACU131064 AMQ131064 AWM131064 BGI131064 BQE131064 CAA131064 CJW131064 CTS131064 DDO131064 DNK131064 DXG131064 EHC131064 EQY131064 FAU131064 FKQ131064 FUM131064 GEI131064 GOE131064 GYA131064 HHW131064 HRS131064 IBO131064 ILK131064 IVG131064 JFC131064 JOY131064 JYU131064 KIQ131064 KSM131064 LCI131064 LME131064 LWA131064 MFW131064 MPS131064 MZO131064 NJK131064 NTG131064 ODC131064 OMY131064 OWU131064 PGQ131064 PQM131064 QAI131064 QKE131064 QUA131064 RDW131064 RNS131064 RXO131064 SHK131064 SRG131064 TBC131064 TKY131064 TUU131064 UEQ131064 UOM131064 UYI131064 VIE131064 VSA131064 WBW131064 WLS131064 WVO131064 G196600 JC196600 SY196600 ACU196600 AMQ196600 AWM196600 BGI196600 BQE196600 CAA196600 CJW196600 CTS196600 DDO196600 DNK196600 DXG196600 EHC196600 EQY196600 FAU196600 FKQ196600 FUM196600 GEI196600 GOE196600 GYA196600 HHW196600 HRS196600 IBO196600 ILK196600 IVG196600 JFC196600 JOY196600 JYU196600 KIQ196600 KSM196600 LCI196600 LME196600 LWA196600 MFW196600 MPS196600 MZO196600 NJK196600 NTG196600 ODC196600 OMY196600 OWU196600 PGQ196600 PQM196600 QAI196600 QKE196600 QUA196600 RDW196600 RNS196600 RXO196600 SHK196600 SRG196600 TBC196600 TKY196600 TUU196600 UEQ196600 UOM196600 UYI196600 VIE196600 VSA196600 WBW196600 WLS196600 WVO196600 G262136 JC262136 SY262136 ACU262136 AMQ262136 AWM262136 BGI262136 BQE262136 CAA262136 CJW262136 CTS262136 DDO262136 DNK262136 DXG262136 EHC262136 EQY262136 FAU262136 FKQ262136 FUM262136 GEI262136 GOE262136 GYA262136 HHW262136 HRS262136 IBO262136 ILK262136 IVG262136 JFC262136 JOY262136 JYU262136 KIQ262136 KSM262136 LCI262136 LME262136 LWA262136 MFW262136 MPS262136 MZO262136 NJK262136 NTG262136 ODC262136 OMY262136 OWU262136 PGQ262136 PQM262136 QAI262136 QKE262136 QUA262136 RDW262136 RNS262136 RXO262136 SHK262136 SRG262136 TBC262136 TKY262136 TUU262136 UEQ262136 UOM262136 UYI262136 VIE262136 VSA262136 WBW262136 WLS262136 WVO262136 G327672 JC327672 SY327672 ACU327672 AMQ327672 AWM327672 BGI327672 BQE327672 CAA327672 CJW327672 CTS327672 DDO327672 DNK327672 DXG327672 EHC327672 EQY327672 FAU327672 FKQ327672 FUM327672 GEI327672 GOE327672 GYA327672 HHW327672 HRS327672 IBO327672 ILK327672 IVG327672 JFC327672 JOY327672 JYU327672 KIQ327672 KSM327672 LCI327672 LME327672 LWA327672 MFW327672 MPS327672 MZO327672 NJK327672 NTG327672 ODC327672 OMY327672 OWU327672 PGQ327672 PQM327672 QAI327672 QKE327672 QUA327672 RDW327672 RNS327672 RXO327672 SHK327672 SRG327672 TBC327672 TKY327672 TUU327672 UEQ327672 UOM327672 UYI327672 VIE327672 VSA327672 WBW327672 WLS327672 WVO327672 G393208 JC393208 SY393208 ACU393208 AMQ393208 AWM393208 BGI393208 BQE393208 CAA393208 CJW393208 CTS393208 DDO393208 DNK393208 DXG393208 EHC393208 EQY393208 FAU393208 FKQ393208 FUM393208 GEI393208 GOE393208 GYA393208 HHW393208 HRS393208 IBO393208 ILK393208 IVG393208 JFC393208 JOY393208 JYU393208 KIQ393208 KSM393208 LCI393208 LME393208 LWA393208 MFW393208 MPS393208 MZO393208 NJK393208 NTG393208 ODC393208 OMY393208 OWU393208 PGQ393208 PQM393208 QAI393208 QKE393208 QUA393208 RDW393208 RNS393208 RXO393208 SHK393208 SRG393208 TBC393208 TKY393208 TUU393208 UEQ393208 UOM393208 UYI393208 VIE393208 VSA393208 WBW393208 WLS393208 WVO393208 G458744 JC458744 SY458744 ACU458744 AMQ458744 AWM458744 BGI458744 BQE458744 CAA458744 CJW458744 CTS458744 DDO458744 DNK458744 DXG458744 EHC458744 EQY458744 FAU458744 FKQ458744 FUM458744 GEI458744 GOE458744 GYA458744 HHW458744 HRS458744 IBO458744 ILK458744 IVG458744 JFC458744 JOY458744 JYU458744 KIQ458744 KSM458744 LCI458744 LME458744 LWA458744 MFW458744 MPS458744 MZO458744 NJK458744 NTG458744 ODC458744 OMY458744 OWU458744 PGQ458744 PQM458744 QAI458744 QKE458744 QUA458744 RDW458744 RNS458744 RXO458744 SHK458744 SRG458744 TBC458744 TKY458744 TUU458744 UEQ458744 UOM458744 UYI458744 VIE458744 VSA458744 WBW458744 WLS458744 WVO458744 G524280 JC524280 SY524280 ACU524280 AMQ524280 AWM524280 BGI524280 BQE524280 CAA524280 CJW524280 CTS524280 DDO524280 DNK524280 DXG524280 EHC524280 EQY524280 FAU524280 FKQ524280 FUM524280 GEI524280 GOE524280 GYA524280 HHW524280 HRS524280 IBO524280 ILK524280 IVG524280 JFC524280 JOY524280 JYU524280 KIQ524280 KSM524280 LCI524280 LME524280 LWA524280 MFW524280 MPS524280 MZO524280 NJK524280 NTG524280 ODC524280 OMY524280 OWU524280 PGQ524280 PQM524280 QAI524280 QKE524280 QUA524280 RDW524280 RNS524280 RXO524280 SHK524280 SRG524280 TBC524280 TKY524280 TUU524280 UEQ524280 UOM524280 UYI524280 VIE524280 VSA524280 WBW524280 WLS524280 WVO524280 G589816 JC589816 SY589816 ACU589816 AMQ589816 AWM589816 BGI589816 BQE589816 CAA589816 CJW589816 CTS589816 DDO589816 DNK589816 DXG589816 EHC589816 EQY589816 FAU589816 FKQ589816 FUM589816 GEI589816 GOE589816 GYA589816 HHW589816 HRS589816 IBO589816 ILK589816 IVG589816 JFC589816 JOY589816 JYU589816 KIQ589816 KSM589816 LCI589816 LME589816 LWA589816 MFW589816 MPS589816 MZO589816 NJK589816 NTG589816 ODC589816 OMY589816 OWU589816 PGQ589816 PQM589816 QAI589816 QKE589816 QUA589816 RDW589816 RNS589816 RXO589816 SHK589816 SRG589816 TBC589816 TKY589816 TUU589816 UEQ589816 UOM589816 UYI589816 VIE589816 VSA589816 WBW589816 WLS589816 WVO589816 G655352 JC655352 SY655352 ACU655352 AMQ655352 AWM655352 BGI655352 BQE655352 CAA655352 CJW655352 CTS655352 DDO655352 DNK655352 DXG655352 EHC655352 EQY655352 FAU655352 FKQ655352 FUM655352 GEI655352 GOE655352 GYA655352 HHW655352 HRS655352 IBO655352 ILK655352 IVG655352 JFC655352 JOY655352 JYU655352 KIQ655352 KSM655352 LCI655352 LME655352 LWA655352 MFW655352 MPS655352 MZO655352 NJK655352 NTG655352 ODC655352 OMY655352 OWU655352 PGQ655352 PQM655352 QAI655352 QKE655352 QUA655352 RDW655352 RNS655352 RXO655352 SHK655352 SRG655352 TBC655352 TKY655352 TUU655352 UEQ655352 UOM655352 UYI655352 VIE655352 VSA655352 WBW655352 WLS655352 WVO655352 G720888 JC720888 SY720888 ACU720888 AMQ720888 AWM720888 BGI720888 BQE720888 CAA720888 CJW720888 CTS720888 DDO720888 DNK720888 DXG720888 EHC720888 EQY720888 FAU720888 FKQ720888 FUM720888 GEI720888 GOE720888 GYA720888 HHW720888 HRS720888 IBO720888 ILK720888 IVG720888 JFC720888 JOY720888 JYU720888 KIQ720888 KSM720888 LCI720888 LME720888 LWA720888 MFW720888 MPS720888 MZO720888 NJK720888 NTG720888 ODC720888 OMY720888 OWU720888 PGQ720888 PQM720888 QAI720888 QKE720888 QUA720888 RDW720888 RNS720888 RXO720888 SHK720888 SRG720888 TBC720888 TKY720888 TUU720888 UEQ720888 UOM720888 UYI720888 VIE720888 VSA720888 WBW720888 WLS720888 WVO720888 G786424 JC786424 SY786424 ACU786424 AMQ786424 AWM786424 BGI786424 BQE786424 CAA786424 CJW786424 CTS786424 DDO786424 DNK786424 DXG786424 EHC786424 EQY786424 FAU786424 FKQ786424 FUM786424 GEI786424 GOE786424 GYA786424 HHW786424 HRS786424 IBO786424 ILK786424 IVG786424 JFC786424 JOY786424 JYU786424 KIQ786424 KSM786424 LCI786424 LME786424 LWA786424 MFW786424 MPS786424 MZO786424 NJK786424 NTG786424 ODC786424 OMY786424 OWU786424 PGQ786424 PQM786424 QAI786424 QKE786424 QUA786424 RDW786424 RNS786424 RXO786424 SHK786424 SRG786424 TBC786424 TKY786424 TUU786424 UEQ786424 UOM786424 UYI786424 VIE786424 VSA786424 WBW786424 WLS786424 WVO786424 G851960 JC851960 SY851960 ACU851960 AMQ851960 AWM851960 BGI851960 BQE851960 CAA851960 CJW851960 CTS851960 DDO851960 DNK851960 DXG851960 EHC851960 EQY851960 FAU851960 FKQ851960 FUM851960 GEI851960 GOE851960 GYA851960 HHW851960 HRS851960 IBO851960 ILK851960 IVG851960 JFC851960 JOY851960 JYU851960 KIQ851960 KSM851960 LCI851960 LME851960 LWA851960 MFW851960 MPS851960 MZO851960 NJK851960 NTG851960 ODC851960 OMY851960 OWU851960 PGQ851960 PQM851960 QAI851960 QKE851960 QUA851960 RDW851960 RNS851960 RXO851960 SHK851960 SRG851960 TBC851960 TKY851960 TUU851960 UEQ851960 UOM851960 UYI851960 VIE851960 VSA851960 WBW851960 WLS851960 WVO851960 G917496 JC917496 SY917496 ACU917496 AMQ917496 AWM917496 BGI917496 BQE917496 CAA917496 CJW917496 CTS917496 DDO917496 DNK917496 DXG917496 EHC917496 EQY917496 FAU917496 FKQ917496 FUM917496 GEI917496 GOE917496 GYA917496 HHW917496 HRS917496 IBO917496 ILK917496 IVG917496 JFC917496 JOY917496 JYU917496 KIQ917496 KSM917496 LCI917496 LME917496 LWA917496 MFW917496 MPS917496 MZO917496 NJK917496 NTG917496 ODC917496 OMY917496 OWU917496 PGQ917496 PQM917496 QAI917496 QKE917496 QUA917496 RDW917496 RNS917496 RXO917496 SHK917496 SRG917496 TBC917496 TKY917496 TUU917496 UEQ917496 UOM917496 UYI917496 VIE917496 VSA917496 WBW917496 WLS917496 WVO917496 G983032 JC983032 SY983032 ACU983032 AMQ983032 AWM983032 BGI983032 BQE983032 CAA983032 CJW983032 CTS983032 DDO983032 DNK983032 DXG983032 EHC983032 EQY983032 FAU983032 FKQ983032 FUM983032 GEI983032 GOE983032 GYA983032 HHW983032 HRS983032 IBO983032 ILK983032 IVG983032 JFC983032 JOY983032 JYU983032 KIQ983032 KSM983032 LCI983032 LME983032 LWA983032 MFW983032 MPS983032 MZO983032 NJK983032 NTG983032 ODC983032 OMY983032 OWU983032 PGQ983032 PQM983032 QAI983032 QKE983032 QUA983032 RDW983032 RNS983032 RXO983032 SHK983032 SRG983032 TBC983032 TKY983032 TUU983032 UEQ983032 UOM983032 UYI983032 VIE983032 VSA983032 WBW983032 WLS983032 WVO983032 WVO983047 JC26 SY26 ACU26 AMQ26 AWM26 BGI26 BQE26 CAA26 CJW26 CTS26 DDO26 DNK26 DXG26 EHC26 EQY26 FAU26 FKQ26 FUM26 GEI26 GOE26 GYA26 HHW26 HRS26 IBO26 ILK26 IVG26 JFC26 JOY26 JYU26 KIQ26 KSM26 LCI26 LME26 LWA26 MFW26 MPS26 MZO26 NJK26 NTG26 ODC26 OMY26 OWU26 PGQ26 PQM26 QAI26 QKE26 QUA26 RDW26 RNS26 RXO26 SHK26 SRG26 TBC26 TKY26 TUU26 UEQ26 UOM26 UYI26 VIE26 VSA26 WBW26 WLS26 WVO26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xr:uid="{3D35C341-971E-436A-97E2-A136354B6A25}">
      <formula1>0</formula1>
      <formula2>50</formula2>
    </dataValidation>
    <dataValidation type="whole" allowBlank="1" showInputMessage="1" showErrorMessage="1" sqref="G35 JC35 SY35 ACU35 AMQ35 AWM35 BGI35 BQE35 CAA35 CJW35 CTS35 DDO35 DNK35 DXG35 EHC35 EQY35 FAU35 FKQ35 FUM35 GEI35 GOE35 GYA35 HHW35 HRS35 IBO35 ILK35 IVG35 JFC35 JOY35 JYU35 KIQ35 KSM35 LCI35 LME35 LWA35 MFW35 MPS35 MZO35 NJK35 NTG35 ODC35 OMY35 OWU35 PGQ35 PQM35 QAI35 QKE35 QUA35 RDW35 RNS35 RXO35 SHK35 SRG35 TBC35 TKY35 TUU35 UEQ35 UOM35 UYI35 VIE35 VSA35 WBW35 WLS35 WVO35 G65560 JC65560 SY65560 ACU65560 AMQ65560 AWM65560 BGI65560 BQE65560 CAA65560 CJW65560 CTS65560 DDO65560 DNK65560 DXG65560 EHC65560 EQY65560 FAU65560 FKQ65560 FUM65560 GEI65560 GOE65560 GYA65560 HHW65560 HRS65560 IBO65560 ILK65560 IVG65560 JFC65560 JOY65560 JYU65560 KIQ65560 KSM65560 LCI65560 LME65560 LWA65560 MFW65560 MPS65560 MZO65560 NJK65560 NTG65560 ODC65560 OMY65560 OWU65560 PGQ65560 PQM65560 QAI65560 QKE65560 QUA65560 RDW65560 RNS65560 RXO65560 SHK65560 SRG65560 TBC65560 TKY65560 TUU65560 UEQ65560 UOM65560 UYI65560 VIE65560 VSA65560 WBW65560 WLS65560 WVO65560 G131096 JC131096 SY131096 ACU131096 AMQ131096 AWM131096 BGI131096 BQE131096 CAA131096 CJW131096 CTS131096 DDO131096 DNK131096 DXG131096 EHC131096 EQY131096 FAU131096 FKQ131096 FUM131096 GEI131096 GOE131096 GYA131096 HHW131096 HRS131096 IBO131096 ILK131096 IVG131096 JFC131096 JOY131096 JYU131096 KIQ131096 KSM131096 LCI131096 LME131096 LWA131096 MFW131096 MPS131096 MZO131096 NJK131096 NTG131096 ODC131096 OMY131096 OWU131096 PGQ131096 PQM131096 QAI131096 QKE131096 QUA131096 RDW131096 RNS131096 RXO131096 SHK131096 SRG131096 TBC131096 TKY131096 TUU131096 UEQ131096 UOM131096 UYI131096 VIE131096 VSA131096 WBW131096 WLS131096 WVO131096 G196632 JC196632 SY196632 ACU196632 AMQ196632 AWM196632 BGI196632 BQE196632 CAA196632 CJW196632 CTS196632 DDO196632 DNK196632 DXG196632 EHC196632 EQY196632 FAU196632 FKQ196632 FUM196632 GEI196632 GOE196632 GYA196632 HHW196632 HRS196632 IBO196632 ILK196632 IVG196632 JFC196632 JOY196632 JYU196632 KIQ196632 KSM196632 LCI196632 LME196632 LWA196632 MFW196632 MPS196632 MZO196632 NJK196632 NTG196632 ODC196632 OMY196632 OWU196632 PGQ196632 PQM196632 QAI196632 QKE196632 QUA196632 RDW196632 RNS196632 RXO196632 SHK196632 SRG196632 TBC196632 TKY196632 TUU196632 UEQ196632 UOM196632 UYI196632 VIE196632 VSA196632 WBW196632 WLS196632 WVO196632 G262168 JC262168 SY262168 ACU262168 AMQ262168 AWM262168 BGI262168 BQE262168 CAA262168 CJW262168 CTS262168 DDO262168 DNK262168 DXG262168 EHC262168 EQY262168 FAU262168 FKQ262168 FUM262168 GEI262168 GOE262168 GYA262168 HHW262168 HRS262168 IBO262168 ILK262168 IVG262168 JFC262168 JOY262168 JYU262168 KIQ262168 KSM262168 LCI262168 LME262168 LWA262168 MFW262168 MPS262168 MZO262168 NJK262168 NTG262168 ODC262168 OMY262168 OWU262168 PGQ262168 PQM262168 QAI262168 QKE262168 QUA262168 RDW262168 RNS262168 RXO262168 SHK262168 SRG262168 TBC262168 TKY262168 TUU262168 UEQ262168 UOM262168 UYI262168 VIE262168 VSA262168 WBW262168 WLS262168 WVO262168 G327704 JC327704 SY327704 ACU327704 AMQ327704 AWM327704 BGI327704 BQE327704 CAA327704 CJW327704 CTS327704 DDO327704 DNK327704 DXG327704 EHC327704 EQY327704 FAU327704 FKQ327704 FUM327704 GEI327704 GOE327704 GYA327704 HHW327704 HRS327704 IBO327704 ILK327704 IVG327704 JFC327704 JOY327704 JYU327704 KIQ327704 KSM327704 LCI327704 LME327704 LWA327704 MFW327704 MPS327704 MZO327704 NJK327704 NTG327704 ODC327704 OMY327704 OWU327704 PGQ327704 PQM327704 QAI327704 QKE327704 QUA327704 RDW327704 RNS327704 RXO327704 SHK327704 SRG327704 TBC327704 TKY327704 TUU327704 UEQ327704 UOM327704 UYI327704 VIE327704 VSA327704 WBW327704 WLS327704 WVO327704 G393240 JC393240 SY393240 ACU393240 AMQ393240 AWM393240 BGI393240 BQE393240 CAA393240 CJW393240 CTS393240 DDO393240 DNK393240 DXG393240 EHC393240 EQY393240 FAU393240 FKQ393240 FUM393240 GEI393240 GOE393240 GYA393240 HHW393240 HRS393240 IBO393240 ILK393240 IVG393240 JFC393240 JOY393240 JYU393240 KIQ393240 KSM393240 LCI393240 LME393240 LWA393240 MFW393240 MPS393240 MZO393240 NJK393240 NTG393240 ODC393240 OMY393240 OWU393240 PGQ393240 PQM393240 QAI393240 QKE393240 QUA393240 RDW393240 RNS393240 RXO393240 SHK393240 SRG393240 TBC393240 TKY393240 TUU393240 UEQ393240 UOM393240 UYI393240 VIE393240 VSA393240 WBW393240 WLS393240 WVO393240 G458776 JC458776 SY458776 ACU458776 AMQ458776 AWM458776 BGI458776 BQE458776 CAA458776 CJW458776 CTS458776 DDO458776 DNK458776 DXG458776 EHC458776 EQY458776 FAU458776 FKQ458776 FUM458776 GEI458776 GOE458776 GYA458776 HHW458776 HRS458776 IBO458776 ILK458776 IVG458776 JFC458776 JOY458776 JYU458776 KIQ458776 KSM458776 LCI458776 LME458776 LWA458776 MFW458776 MPS458776 MZO458776 NJK458776 NTG458776 ODC458776 OMY458776 OWU458776 PGQ458776 PQM458776 QAI458776 QKE458776 QUA458776 RDW458776 RNS458776 RXO458776 SHK458776 SRG458776 TBC458776 TKY458776 TUU458776 UEQ458776 UOM458776 UYI458776 VIE458776 VSA458776 WBW458776 WLS458776 WVO458776 G524312 JC524312 SY524312 ACU524312 AMQ524312 AWM524312 BGI524312 BQE524312 CAA524312 CJW524312 CTS524312 DDO524312 DNK524312 DXG524312 EHC524312 EQY524312 FAU524312 FKQ524312 FUM524312 GEI524312 GOE524312 GYA524312 HHW524312 HRS524312 IBO524312 ILK524312 IVG524312 JFC524312 JOY524312 JYU524312 KIQ524312 KSM524312 LCI524312 LME524312 LWA524312 MFW524312 MPS524312 MZO524312 NJK524312 NTG524312 ODC524312 OMY524312 OWU524312 PGQ524312 PQM524312 QAI524312 QKE524312 QUA524312 RDW524312 RNS524312 RXO524312 SHK524312 SRG524312 TBC524312 TKY524312 TUU524312 UEQ524312 UOM524312 UYI524312 VIE524312 VSA524312 WBW524312 WLS524312 WVO524312 G589848 JC589848 SY589848 ACU589848 AMQ589848 AWM589848 BGI589848 BQE589848 CAA589848 CJW589848 CTS589848 DDO589848 DNK589848 DXG589848 EHC589848 EQY589848 FAU589848 FKQ589848 FUM589848 GEI589848 GOE589848 GYA589848 HHW589848 HRS589848 IBO589848 ILK589848 IVG589848 JFC589848 JOY589848 JYU589848 KIQ589848 KSM589848 LCI589848 LME589848 LWA589848 MFW589848 MPS589848 MZO589848 NJK589848 NTG589848 ODC589848 OMY589848 OWU589848 PGQ589848 PQM589848 QAI589848 QKE589848 QUA589848 RDW589848 RNS589848 RXO589848 SHK589848 SRG589848 TBC589848 TKY589848 TUU589848 UEQ589848 UOM589848 UYI589848 VIE589848 VSA589848 WBW589848 WLS589848 WVO589848 G655384 JC655384 SY655384 ACU655384 AMQ655384 AWM655384 BGI655384 BQE655384 CAA655384 CJW655384 CTS655384 DDO655384 DNK655384 DXG655384 EHC655384 EQY655384 FAU655384 FKQ655384 FUM655384 GEI655384 GOE655384 GYA655384 HHW655384 HRS655384 IBO655384 ILK655384 IVG655384 JFC655384 JOY655384 JYU655384 KIQ655384 KSM655384 LCI655384 LME655384 LWA655384 MFW655384 MPS655384 MZO655384 NJK655384 NTG655384 ODC655384 OMY655384 OWU655384 PGQ655384 PQM655384 QAI655384 QKE655384 QUA655384 RDW655384 RNS655384 RXO655384 SHK655384 SRG655384 TBC655384 TKY655384 TUU655384 UEQ655384 UOM655384 UYI655384 VIE655384 VSA655384 WBW655384 WLS655384 WVO655384 G720920 JC720920 SY720920 ACU720920 AMQ720920 AWM720920 BGI720920 BQE720920 CAA720920 CJW720920 CTS720920 DDO720920 DNK720920 DXG720920 EHC720920 EQY720920 FAU720920 FKQ720920 FUM720920 GEI720920 GOE720920 GYA720920 HHW720920 HRS720920 IBO720920 ILK720920 IVG720920 JFC720920 JOY720920 JYU720920 KIQ720920 KSM720920 LCI720920 LME720920 LWA720920 MFW720920 MPS720920 MZO720920 NJK720920 NTG720920 ODC720920 OMY720920 OWU720920 PGQ720920 PQM720920 QAI720920 QKE720920 QUA720920 RDW720920 RNS720920 RXO720920 SHK720920 SRG720920 TBC720920 TKY720920 TUU720920 UEQ720920 UOM720920 UYI720920 VIE720920 VSA720920 WBW720920 WLS720920 WVO720920 G786456 JC786456 SY786456 ACU786456 AMQ786456 AWM786456 BGI786456 BQE786456 CAA786456 CJW786456 CTS786456 DDO786456 DNK786456 DXG786456 EHC786456 EQY786456 FAU786456 FKQ786456 FUM786456 GEI786456 GOE786456 GYA786456 HHW786456 HRS786456 IBO786456 ILK786456 IVG786456 JFC786456 JOY786456 JYU786456 KIQ786456 KSM786456 LCI786456 LME786456 LWA786456 MFW786456 MPS786456 MZO786456 NJK786456 NTG786456 ODC786456 OMY786456 OWU786456 PGQ786456 PQM786456 QAI786456 QKE786456 QUA786456 RDW786456 RNS786456 RXO786456 SHK786456 SRG786456 TBC786456 TKY786456 TUU786456 UEQ786456 UOM786456 UYI786456 VIE786456 VSA786456 WBW786456 WLS786456 WVO786456 G851992 JC851992 SY851992 ACU851992 AMQ851992 AWM851992 BGI851992 BQE851992 CAA851992 CJW851992 CTS851992 DDO851992 DNK851992 DXG851992 EHC851992 EQY851992 FAU851992 FKQ851992 FUM851992 GEI851992 GOE851992 GYA851992 HHW851992 HRS851992 IBO851992 ILK851992 IVG851992 JFC851992 JOY851992 JYU851992 KIQ851992 KSM851992 LCI851992 LME851992 LWA851992 MFW851992 MPS851992 MZO851992 NJK851992 NTG851992 ODC851992 OMY851992 OWU851992 PGQ851992 PQM851992 QAI851992 QKE851992 QUA851992 RDW851992 RNS851992 RXO851992 SHK851992 SRG851992 TBC851992 TKY851992 TUU851992 UEQ851992 UOM851992 UYI851992 VIE851992 VSA851992 WBW851992 WLS851992 WVO851992 G917528 JC917528 SY917528 ACU917528 AMQ917528 AWM917528 BGI917528 BQE917528 CAA917528 CJW917528 CTS917528 DDO917528 DNK917528 DXG917528 EHC917528 EQY917528 FAU917528 FKQ917528 FUM917528 GEI917528 GOE917528 GYA917528 HHW917528 HRS917528 IBO917528 ILK917528 IVG917528 JFC917528 JOY917528 JYU917528 KIQ917528 KSM917528 LCI917528 LME917528 LWA917528 MFW917528 MPS917528 MZO917528 NJK917528 NTG917528 ODC917528 OMY917528 OWU917528 PGQ917528 PQM917528 QAI917528 QKE917528 QUA917528 RDW917528 RNS917528 RXO917528 SHK917528 SRG917528 TBC917528 TKY917528 TUU917528 UEQ917528 UOM917528 UYI917528 VIE917528 VSA917528 WBW917528 WLS917528 WVO917528 G983064 JC983064 SY983064 ACU983064 AMQ983064 AWM983064 BGI983064 BQE983064 CAA983064 CJW983064 CTS983064 DDO983064 DNK983064 DXG983064 EHC983064 EQY983064 FAU983064 FKQ983064 FUM983064 GEI983064 GOE983064 GYA983064 HHW983064 HRS983064 IBO983064 ILK983064 IVG983064 JFC983064 JOY983064 JYU983064 KIQ983064 KSM983064 LCI983064 LME983064 LWA983064 MFW983064 MPS983064 MZO983064 NJK983064 NTG983064 ODC983064 OMY983064 OWU983064 PGQ983064 PQM983064 QAI983064 QKE983064 QUA983064 RDW983064 RNS983064 RXO983064 SHK983064 SRG983064 TBC983064 TKY983064 TUU983064 UEQ983064 UOM983064 UYI983064 VIE983064 VSA983064 WBW983064 WLS983064 WVO983064 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G65525 JC65525 SY65525 ACU65525 AMQ65525 AWM65525 BGI65525 BQE65525 CAA65525 CJW65525 CTS65525 DDO65525 DNK65525 DXG65525 EHC65525 EQY65525 FAU65525 FKQ65525 FUM65525 GEI65525 GOE65525 GYA65525 HHW65525 HRS65525 IBO65525 ILK65525 IVG65525 JFC65525 JOY65525 JYU65525 KIQ65525 KSM65525 LCI65525 LME65525 LWA65525 MFW65525 MPS65525 MZO65525 NJK65525 NTG65525 ODC65525 OMY65525 OWU65525 PGQ65525 PQM65525 QAI65525 QKE65525 QUA65525 RDW65525 RNS65525 RXO65525 SHK65525 SRG65525 TBC65525 TKY65525 TUU65525 UEQ65525 UOM65525 UYI65525 VIE65525 VSA65525 WBW65525 WLS65525 WVO65525 G131061 JC131061 SY131061 ACU131061 AMQ131061 AWM131061 BGI131061 BQE131061 CAA131061 CJW131061 CTS131061 DDO131061 DNK131061 DXG131061 EHC131061 EQY131061 FAU131061 FKQ131061 FUM131061 GEI131061 GOE131061 GYA131061 HHW131061 HRS131061 IBO131061 ILK131061 IVG131061 JFC131061 JOY131061 JYU131061 KIQ131061 KSM131061 LCI131061 LME131061 LWA131061 MFW131061 MPS131061 MZO131061 NJK131061 NTG131061 ODC131061 OMY131061 OWU131061 PGQ131061 PQM131061 QAI131061 QKE131061 QUA131061 RDW131061 RNS131061 RXO131061 SHK131061 SRG131061 TBC131061 TKY131061 TUU131061 UEQ131061 UOM131061 UYI131061 VIE131061 VSA131061 WBW131061 WLS131061 WVO131061 G196597 JC196597 SY196597 ACU196597 AMQ196597 AWM196597 BGI196597 BQE196597 CAA196597 CJW196597 CTS196597 DDO196597 DNK196597 DXG196597 EHC196597 EQY196597 FAU196597 FKQ196597 FUM196597 GEI196597 GOE196597 GYA196597 HHW196597 HRS196597 IBO196597 ILK196597 IVG196597 JFC196597 JOY196597 JYU196597 KIQ196597 KSM196597 LCI196597 LME196597 LWA196597 MFW196597 MPS196597 MZO196597 NJK196597 NTG196597 ODC196597 OMY196597 OWU196597 PGQ196597 PQM196597 QAI196597 QKE196597 QUA196597 RDW196597 RNS196597 RXO196597 SHK196597 SRG196597 TBC196597 TKY196597 TUU196597 UEQ196597 UOM196597 UYI196597 VIE196597 VSA196597 WBW196597 WLS196597 WVO196597 G262133 JC262133 SY262133 ACU262133 AMQ262133 AWM262133 BGI262133 BQE262133 CAA262133 CJW262133 CTS262133 DDO262133 DNK262133 DXG262133 EHC262133 EQY262133 FAU262133 FKQ262133 FUM262133 GEI262133 GOE262133 GYA262133 HHW262133 HRS262133 IBO262133 ILK262133 IVG262133 JFC262133 JOY262133 JYU262133 KIQ262133 KSM262133 LCI262133 LME262133 LWA262133 MFW262133 MPS262133 MZO262133 NJK262133 NTG262133 ODC262133 OMY262133 OWU262133 PGQ262133 PQM262133 QAI262133 QKE262133 QUA262133 RDW262133 RNS262133 RXO262133 SHK262133 SRG262133 TBC262133 TKY262133 TUU262133 UEQ262133 UOM262133 UYI262133 VIE262133 VSA262133 WBW262133 WLS262133 WVO262133 G327669 JC327669 SY327669 ACU327669 AMQ327669 AWM327669 BGI327669 BQE327669 CAA327669 CJW327669 CTS327669 DDO327669 DNK327669 DXG327669 EHC327669 EQY327669 FAU327669 FKQ327669 FUM327669 GEI327669 GOE327669 GYA327669 HHW327669 HRS327669 IBO327669 ILK327669 IVG327669 JFC327669 JOY327669 JYU327669 KIQ327669 KSM327669 LCI327669 LME327669 LWA327669 MFW327669 MPS327669 MZO327669 NJK327669 NTG327669 ODC327669 OMY327669 OWU327669 PGQ327669 PQM327669 QAI327669 QKE327669 QUA327669 RDW327669 RNS327669 RXO327669 SHK327669 SRG327669 TBC327669 TKY327669 TUU327669 UEQ327669 UOM327669 UYI327669 VIE327669 VSA327669 WBW327669 WLS327669 WVO327669 G393205 JC393205 SY393205 ACU393205 AMQ393205 AWM393205 BGI393205 BQE393205 CAA393205 CJW393205 CTS393205 DDO393205 DNK393205 DXG393205 EHC393205 EQY393205 FAU393205 FKQ393205 FUM393205 GEI393205 GOE393205 GYA393205 HHW393205 HRS393205 IBO393205 ILK393205 IVG393205 JFC393205 JOY393205 JYU393205 KIQ393205 KSM393205 LCI393205 LME393205 LWA393205 MFW393205 MPS393205 MZO393205 NJK393205 NTG393205 ODC393205 OMY393205 OWU393205 PGQ393205 PQM393205 QAI393205 QKE393205 QUA393205 RDW393205 RNS393205 RXO393205 SHK393205 SRG393205 TBC393205 TKY393205 TUU393205 UEQ393205 UOM393205 UYI393205 VIE393205 VSA393205 WBW393205 WLS393205 WVO393205 G458741 JC458741 SY458741 ACU458741 AMQ458741 AWM458741 BGI458741 BQE458741 CAA458741 CJW458741 CTS458741 DDO458741 DNK458741 DXG458741 EHC458741 EQY458741 FAU458741 FKQ458741 FUM458741 GEI458741 GOE458741 GYA458741 HHW458741 HRS458741 IBO458741 ILK458741 IVG458741 JFC458741 JOY458741 JYU458741 KIQ458741 KSM458741 LCI458741 LME458741 LWA458741 MFW458741 MPS458741 MZO458741 NJK458741 NTG458741 ODC458741 OMY458741 OWU458741 PGQ458741 PQM458741 QAI458741 QKE458741 QUA458741 RDW458741 RNS458741 RXO458741 SHK458741 SRG458741 TBC458741 TKY458741 TUU458741 UEQ458741 UOM458741 UYI458741 VIE458741 VSA458741 WBW458741 WLS458741 WVO458741 G524277 JC524277 SY524277 ACU524277 AMQ524277 AWM524277 BGI524277 BQE524277 CAA524277 CJW524277 CTS524277 DDO524277 DNK524277 DXG524277 EHC524277 EQY524277 FAU524277 FKQ524277 FUM524277 GEI524277 GOE524277 GYA524277 HHW524277 HRS524277 IBO524277 ILK524277 IVG524277 JFC524277 JOY524277 JYU524277 KIQ524277 KSM524277 LCI524277 LME524277 LWA524277 MFW524277 MPS524277 MZO524277 NJK524277 NTG524277 ODC524277 OMY524277 OWU524277 PGQ524277 PQM524277 QAI524277 QKE524277 QUA524277 RDW524277 RNS524277 RXO524277 SHK524277 SRG524277 TBC524277 TKY524277 TUU524277 UEQ524277 UOM524277 UYI524277 VIE524277 VSA524277 WBW524277 WLS524277 WVO524277 G589813 JC589813 SY589813 ACU589813 AMQ589813 AWM589813 BGI589813 BQE589813 CAA589813 CJW589813 CTS589813 DDO589813 DNK589813 DXG589813 EHC589813 EQY589813 FAU589813 FKQ589813 FUM589813 GEI589813 GOE589813 GYA589813 HHW589813 HRS589813 IBO589813 ILK589813 IVG589813 JFC589813 JOY589813 JYU589813 KIQ589813 KSM589813 LCI589813 LME589813 LWA589813 MFW589813 MPS589813 MZO589813 NJK589813 NTG589813 ODC589813 OMY589813 OWU589813 PGQ589813 PQM589813 QAI589813 QKE589813 QUA589813 RDW589813 RNS589813 RXO589813 SHK589813 SRG589813 TBC589813 TKY589813 TUU589813 UEQ589813 UOM589813 UYI589813 VIE589813 VSA589813 WBW589813 WLS589813 WVO589813 G655349 JC655349 SY655349 ACU655349 AMQ655349 AWM655349 BGI655349 BQE655349 CAA655349 CJW655349 CTS655349 DDO655349 DNK655349 DXG655349 EHC655349 EQY655349 FAU655349 FKQ655349 FUM655349 GEI655349 GOE655349 GYA655349 HHW655349 HRS655349 IBO655349 ILK655349 IVG655349 JFC655349 JOY655349 JYU655349 KIQ655349 KSM655349 LCI655349 LME655349 LWA655349 MFW655349 MPS655349 MZO655349 NJK655349 NTG655349 ODC655349 OMY655349 OWU655349 PGQ655349 PQM655349 QAI655349 QKE655349 QUA655349 RDW655349 RNS655349 RXO655349 SHK655349 SRG655349 TBC655349 TKY655349 TUU655349 UEQ655349 UOM655349 UYI655349 VIE655349 VSA655349 WBW655349 WLS655349 WVO655349 G720885 JC720885 SY720885 ACU720885 AMQ720885 AWM720885 BGI720885 BQE720885 CAA720885 CJW720885 CTS720885 DDO720885 DNK720885 DXG720885 EHC720885 EQY720885 FAU720885 FKQ720885 FUM720885 GEI720885 GOE720885 GYA720885 HHW720885 HRS720885 IBO720885 ILK720885 IVG720885 JFC720885 JOY720885 JYU720885 KIQ720885 KSM720885 LCI720885 LME720885 LWA720885 MFW720885 MPS720885 MZO720885 NJK720885 NTG720885 ODC720885 OMY720885 OWU720885 PGQ720885 PQM720885 QAI720885 QKE720885 QUA720885 RDW720885 RNS720885 RXO720885 SHK720885 SRG720885 TBC720885 TKY720885 TUU720885 UEQ720885 UOM720885 UYI720885 VIE720885 VSA720885 WBW720885 WLS720885 WVO720885 G786421 JC786421 SY786421 ACU786421 AMQ786421 AWM786421 BGI786421 BQE786421 CAA786421 CJW786421 CTS786421 DDO786421 DNK786421 DXG786421 EHC786421 EQY786421 FAU786421 FKQ786421 FUM786421 GEI786421 GOE786421 GYA786421 HHW786421 HRS786421 IBO786421 ILK786421 IVG786421 JFC786421 JOY786421 JYU786421 KIQ786421 KSM786421 LCI786421 LME786421 LWA786421 MFW786421 MPS786421 MZO786421 NJK786421 NTG786421 ODC786421 OMY786421 OWU786421 PGQ786421 PQM786421 QAI786421 QKE786421 QUA786421 RDW786421 RNS786421 RXO786421 SHK786421 SRG786421 TBC786421 TKY786421 TUU786421 UEQ786421 UOM786421 UYI786421 VIE786421 VSA786421 WBW786421 WLS786421 WVO786421 G851957 JC851957 SY851957 ACU851957 AMQ851957 AWM851957 BGI851957 BQE851957 CAA851957 CJW851957 CTS851957 DDO851957 DNK851957 DXG851957 EHC851957 EQY851957 FAU851957 FKQ851957 FUM851957 GEI851957 GOE851957 GYA851957 HHW851957 HRS851957 IBO851957 ILK851957 IVG851957 JFC851957 JOY851957 JYU851957 KIQ851957 KSM851957 LCI851957 LME851957 LWA851957 MFW851957 MPS851957 MZO851957 NJK851957 NTG851957 ODC851957 OMY851957 OWU851957 PGQ851957 PQM851957 QAI851957 QKE851957 QUA851957 RDW851957 RNS851957 RXO851957 SHK851957 SRG851957 TBC851957 TKY851957 TUU851957 UEQ851957 UOM851957 UYI851957 VIE851957 VSA851957 WBW851957 WLS851957 WVO851957 G917493 JC917493 SY917493 ACU917493 AMQ917493 AWM917493 BGI917493 BQE917493 CAA917493 CJW917493 CTS917493 DDO917493 DNK917493 DXG917493 EHC917493 EQY917493 FAU917493 FKQ917493 FUM917493 GEI917493 GOE917493 GYA917493 HHW917493 HRS917493 IBO917493 ILK917493 IVG917493 JFC917493 JOY917493 JYU917493 KIQ917493 KSM917493 LCI917493 LME917493 LWA917493 MFW917493 MPS917493 MZO917493 NJK917493 NTG917493 ODC917493 OMY917493 OWU917493 PGQ917493 PQM917493 QAI917493 QKE917493 QUA917493 RDW917493 RNS917493 RXO917493 SHK917493 SRG917493 TBC917493 TKY917493 TUU917493 UEQ917493 UOM917493 UYI917493 VIE917493 VSA917493 WBW917493 WLS917493 WVO917493 G983029 JC983029 SY983029 ACU983029 AMQ983029 AWM983029 BGI983029 BQE983029 CAA983029 CJW983029 CTS983029 DDO983029 DNK983029 DXG983029 EHC983029 EQY983029 FAU983029 FKQ983029 FUM983029 GEI983029 GOE983029 GYA983029 HHW983029 HRS983029 IBO983029 ILK983029 IVG983029 JFC983029 JOY983029 JYU983029 KIQ983029 KSM983029 LCI983029 LME983029 LWA983029 MFW983029 MPS983029 MZO983029 NJK983029 NTG983029 ODC983029 OMY983029 OWU983029 PGQ983029 PQM983029 QAI983029 QKE983029 QUA983029 RDW983029 RNS983029 RXO983029 SHK983029 SRG983029 TBC983029 TKY983029 TUU983029 UEQ983029 UOM983029 UYI983029 VIE983029 VSA983029 WBW983029 WLS983029 WVO983029 G10 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G65527 JC65527 SY65527 ACU65527 AMQ65527 AWM65527 BGI65527 BQE65527 CAA65527 CJW65527 CTS65527 DDO65527 DNK65527 DXG65527 EHC65527 EQY65527 FAU65527 FKQ65527 FUM65527 GEI65527 GOE65527 GYA65527 HHW65527 HRS65527 IBO65527 ILK65527 IVG65527 JFC65527 JOY65527 JYU65527 KIQ65527 KSM65527 LCI65527 LME65527 LWA65527 MFW65527 MPS65527 MZO65527 NJK65527 NTG65527 ODC65527 OMY65527 OWU65527 PGQ65527 PQM65527 QAI65527 QKE65527 QUA65527 RDW65527 RNS65527 RXO65527 SHK65527 SRG65527 TBC65527 TKY65527 TUU65527 UEQ65527 UOM65527 UYI65527 VIE65527 VSA65527 WBW65527 WLS65527 WVO65527 G131063 JC131063 SY131063 ACU131063 AMQ131063 AWM131063 BGI131063 BQE131063 CAA131063 CJW131063 CTS131063 DDO131063 DNK131063 DXG131063 EHC131063 EQY131063 FAU131063 FKQ131063 FUM131063 GEI131063 GOE131063 GYA131063 HHW131063 HRS131063 IBO131063 ILK131063 IVG131063 JFC131063 JOY131063 JYU131063 KIQ131063 KSM131063 LCI131063 LME131063 LWA131063 MFW131063 MPS131063 MZO131063 NJK131063 NTG131063 ODC131063 OMY131063 OWU131063 PGQ131063 PQM131063 QAI131063 QKE131063 QUA131063 RDW131063 RNS131063 RXO131063 SHK131063 SRG131063 TBC131063 TKY131063 TUU131063 UEQ131063 UOM131063 UYI131063 VIE131063 VSA131063 WBW131063 WLS131063 WVO131063 G196599 JC196599 SY196599 ACU196599 AMQ196599 AWM196599 BGI196599 BQE196599 CAA196599 CJW196599 CTS196599 DDO196599 DNK196599 DXG196599 EHC196599 EQY196599 FAU196599 FKQ196599 FUM196599 GEI196599 GOE196599 GYA196599 HHW196599 HRS196599 IBO196599 ILK196599 IVG196599 JFC196599 JOY196599 JYU196599 KIQ196599 KSM196599 LCI196599 LME196599 LWA196599 MFW196599 MPS196599 MZO196599 NJK196599 NTG196599 ODC196599 OMY196599 OWU196599 PGQ196599 PQM196599 QAI196599 QKE196599 QUA196599 RDW196599 RNS196599 RXO196599 SHK196599 SRG196599 TBC196599 TKY196599 TUU196599 UEQ196599 UOM196599 UYI196599 VIE196599 VSA196599 WBW196599 WLS196599 WVO196599 G262135 JC262135 SY262135 ACU262135 AMQ262135 AWM262135 BGI262135 BQE262135 CAA262135 CJW262135 CTS262135 DDO262135 DNK262135 DXG262135 EHC262135 EQY262135 FAU262135 FKQ262135 FUM262135 GEI262135 GOE262135 GYA262135 HHW262135 HRS262135 IBO262135 ILK262135 IVG262135 JFC262135 JOY262135 JYU262135 KIQ262135 KSM262135 LCI262135 LME262135 LWA262135 MFW262135 MPS262135 MZO262135 NJK262135 NTG262135 ODC262135 OMY262135 OWU262135 PGQ262135 PQM262135 QAI262135 QKE262135 QUA262135 RDW262135 RNS262135 RXO262135 SHK262135 SRG262135 TBC262135 TKY262135 TUU262135 UEQ262135 UOM262135 UYI262135 VIE262135 VSA262135 WBW262135 WLS262135 WVO262135 G327671 JC327671 SY327671 ACU327671 AMQ327671 AWM327671 BGI327671 BQE327671 CAA327671 CJW327671 CTS327671 DDO327671 DNK327671 DXG327671 EHC327671 EQY327671 FAU327671 FKQ327671 FUM327671 GEI327671 GOE327671 GYA327671 HHW327671 HRS327671 IBO327671 ILK327671 IVG327671 JFC327671 JOY327671 JYU327671 KIQ327671 KSM327671 LCI327671 LME327671 LWA327671 MFW327671 MPS327671 MZO327671 NJK327671 NTG327671 ODC327671 OMY327671 OWU327671 PGQ327671 PQM327671 QAI327671 QKE327671 QUA327671 RDW327671 RNS327671 RXO327671 SHK327671 SRG327671 TBC327671 TKY327671 TUU327671 UEQ327671 UOM327671 UYI327671 VIE327671 VSA327671 WBW327671 WLS327671 WVO327671 G393207 JC393207 SY393207 ACU393207 AMQ393207 AWM393207 BGI393207 BQE393207 CAA393207 CJW393207 CTS393207 DDO393207 DNK393207 DXG393207 EHC393207 EQY393207 FAU393207 FKQ393207 FUM393207 GEI393207 GOE393207 GYA393207 HHW393207 HRS393207 IBO393207 ILK393207 IVG393207 JFC393207 JOY393207 JYU393207 KIQ393207 KSM393207 LCI393207 LME393207 LWA393207 MFW393207 MPS393207 MZO393207 NJK393207 NTG393207 ODC393207 OMY393207 OWU393207 PGQ393207 PQM393207 QAI393207 QKE393207 QUA393207 RDW393207 RNS393207 RXO393207 SHK393207 SRG393207 TBC393207 TKY393207 TUU393207 UEQ393207 UOM393207 UYI393207 VIE393207 VSA393207 WBW393207 WLS393207 WVO393207 G458743 JC458743 SY458743 ACU458743 AMQ458743 AWM458743 BGI458743 BQE458743 CAA458743 CJW458743 CTS458743 DDO458743 DNK458743 DXG458743 EHC458743 EQY458743 FAU458743 FKQ458743 FUM458743 GEI458743 GOE458743 GYA458743 HHW458743 HRS458743 IBO458743 ILK458743 IVG458743 JFC458743 JOY458743 JYU458743 KIQ458743 KSM458743 LCI458743 LME458743 LWA458743 MFW458743 MPS458743 MZO458743 NJK458743 NTG458743 ODC458743 OMY458743 OWU458743 PGQ458743 PQM458743 QAI458743 QKE458743 QUA458743 RDW458743 RNS458743 RXO458743 SHK458743 SRG458743 TBC458743 TKY458743 TUU458743 UEQ458743 UOM458743 UYI458743 VIE458743 VSA458743 WBW458743 WLS458743 WVO458743 G524279 JC524279 SY524279 ACU524279 AMQ524279 AWM524279 BGI524279 BQE524279 CAA524279 CJW524279 CTS524279 DDO524279 DNK524279 DXG524279 EHC524279 EQY524279 FAU524279 FKQ524279 FUM524279 GEI524279 GOE524279 GYA524279 HHW524279 HRS524279 IBO524279 ILK524279 IVG524279 JFC524279 JOY524279 JYU524279 KIQ524279 KSM524279 LCI524279 LME524279 LWA524279 MFW524279 MPS524279 MZO524279 NJK524279 NTG524279 ODC524279 OMY524279 OWU524279 PGQ524279 PQM524279 QAI524279 QKE524279 QUA524279 RDW524279 RNS524279 RXO524279 SHK524279 SRG524279 TBC524279 TKY524279 TUU524279 UEQ524279 UOM524279 UYI524279 VIE524279 VSA524279 WBW524279 WLS524279 WVO524279 G589815 JC589815 SY589815 ACU589815 AMQ589815 AWM589815 BGI589815 BQE589815 CAA589815 CJW589815 CTS589815 DDO589815 DNK589815 DXG589815 EHC589815 EQY589815 FAU589815 FKQ589815 FUM589815 GEI589815 GOE589815 GYA589815 HHW589815 HRS589815 IBO589815 ILK589815 IVG589815 JFC589815 JOY589815 JYU589815 KIQ589815 KSM589815 LCI589815 LME589815 LWA589815 MFW589815 MPS589815 MZO589815 NJK589815 NTG589815 ODC589815 OMY589815 OWU589815 PGQ589815 PQM589815 QAI589815 QKE589815 QUA589815 RDW589815 RNS589815 RXO589815 SHK589815 SRG589815 TBC589815 TKY589815 TUU589815 UEQ589815 UOM589815 UYI589815 VIE589815 VSA589815 WBW589815 WLS589815 WVO589815 G655351 JC655351 SY655351 ACU655351 AMQ655351 AWM655351 BGI655351 BQE655351 CAA655351 CJW655351 CTS655351 DDO655351 DNK655351 DXG655351 EHC655351 EQY655351 FAU655351 FKQ655351 FUM655351 GEI655351 GOE655351 GYA655351 HHW655351 HRS655351 IBO655351 ILK655351 IVG655351 JFC655351 JOY655351 JYU655351 KIQ655351 KSM655351 LCI655351 LME655351 LWA655351 MFW655351 MPS655351 MZO655351 NJK655351 NTG655351 ODC655351 OMY655351 OWU655351 PGQ655351 PQM655351 QAI655351 QKE655351 QUA655351 RDW655351 RNS655351 RXO655351 SHK655351 SRG655351 TBC655351 TKY655351 TUU655351 UEQ655351 UOM655351 UYI655351 VIE655351 VSA655351 WBW655351 WLS655351 WVO655351 G720887 JC720887 SY720887 ACU720887 AMQ720887 AWM720887 BGI720887 BQE720887 CAA720887 CJW720887 CTS720887 DDO720887 DNK720887 DXG720887 EHC720887 EQY720887 FAU720887 FKQ720887 FUM720887 GEI720887 GOE720887 GYA720887 HHW720887 HRS720887 IBO720887 ILK720887 IVG720887 JFC720887 JOY720887 JYU720887 KIQ720887 KSM720887 LCI720887 LME720887 LWA720887 MFW720887 MPS720887 MZO720887 NJK720887 NTG720887 ODC720887 OMY720887 OWU720887 PGQ720887 PQM720887 QAI720887 QKE720887 QUA720887 RDW720887 RNS720887 RXO720887 SHK720887 SRG720887 TBC720887 TKY720887 TUU720887 UEQ720887 UOM720887 UYI720887 VIE720887 VSA720887 WBW720887 WLS720887 WVO720887 G786423 JC786423 SY786423 ACU786423 AMQ786423 AWM786423 BGI786423 BQE786423 CAA786423 CJW786423 CTS786423 DDO786423 DNK786423 DXG786423 EHC786423 EQY786423 FAU786423 FKQ786423 FUM786423 GEI786423 GOE786423 GYA786423 HHW786423 HRS786423 IBO786423 ILK786423 IVG786423 JFC786423 JOY786423 JYU786423 KIQ786423 KSM786423 LCI786423 LME786423 LWA786423 MFW786423 MPS786423 MZO786423 NJK786423 NTG786423 ODC786423 OMY786423 OWU786423 PGQ786423 PQM786423 QAI786423 QKE786423 QUA786423 RDW786423 RNS786423 RXO786423 SHK786423 SRG786423 TBC786423 TKY786423 TUU786423 UEQ786423 UOM786423 UYI786423 VIE786423 VSA786423 WBW786423 WLS786423 WVO786423 G851959 JC851959 SY851959 ACU851959 AMQ851959 AWM851959 BGI851959 BQE851959 CAA851959 CJW851959 CTS851959 DDO851959 DNK851959 DXG851959 EHC851959 EQY851959 FAU851959 FKQ851959 FUM851959 GEI851959 GOE851959 GYA851959 HHW851959 HRS851959 IBO851959 ILK851959 IVG851959 JFC851959 JOY851959 JYU851959 KIQ851959 KSM851959 LCI851959 LME851959 LWA851959 MFW851959 MPS851959 MZO851959 NJK851959 NTG851959 ODC851959 OMY851959 OWU851959 PGQ851959 PQM851959 QAI851959 QKE851959 QUA851959 RDW851959 RNS851959 RXO851959 SHK851959 SRG851959 TBC851959 TKY851959 TUU851959 UEQ851959 UOM851959 UYI851959 VIE851959 VSA851959 WBW851959 WLS851959 WVO851959 G917495 JC917495 SY917495 ACU917495 AMQ917495 AWM917495 BGI917495 BQE917495 CAA917495 CJW917495 CTS917495 DDO917495 DNK917495 DXG917495 EHC917495 EQY917495 FAU917495 FKQ917495 FUM917495 GEI917495 GOE917495 GYA917495 HHW917495 HRS917495 IBO917495 ILK917495 IVG917495 JFC917495 JOY917495 JYU917495 KIQ917495 KSM917495 LCI917495 LME917495 LWA917495 MFW917495 MPS917495 MZO917495 NJK917495 NTG917495 ODC917495 OMY917495 OWU917495 PGQ917495 PQM917495 QAI917495 QKE917495 QUA917495 RDW917495 RNS917495 RXO917495 SHK917495 SRG917495 TBC917495 TKY917495 TUU917495 UEQ917495 UOM917495 UYI917495 VIE917495 VSA917495 WBW917495 WLS917495 WVO917495 G983031 JC983031 SY983031 ACU983031 AMQ983031 AWM983031 BGI983031 BQE983031 CAA983031 CJW983031 CTS983031 DDO983031 DNK983031 DXG983031 EHC983031 EQY983031 FAU983031 FKQ983031 FUM983031 GEI983031 GOE983031 GYA983031 HHW983031 HRS983031 IBO983031 ILK983031 IVG983031 JFC983031 JOY983031 JYU983031 KIQ983031 KSM983031 LCI983031 LME983031 LWA983031 MFW983031 MPS983031 MZO983031 NJK983031 NTG983031 ODC983031 OMY983031 OWU983031 PGQ983031 PQM983031 QAI983031 QKE983031 QUA983031 RDW983031 RNS983031 RXO983031 SHK983031 SRG983031 TBC983031 TKY983031 TUU983031 UEQ983031 UOM983031 UYI983031 VIE983031 VSA983031 WBW983031 WLS983031 WVO983031 G12 JC12 SY12 ACU12 AMQ12 AWM12 BGI12 BQE12 CAA12 CJW12 CTS12 DDO12 DNK12 DXG12 EHC12 EQY12 FAU12 FKQ12 FUM12 GEI12 GOE12 GYA12 HHW12 HRS12 IBO12 ILK12 IVG12 JFC12 JOY12 JYU12 KIQ12 KSM12 LCI12 LME12 LWA12 MFW12 MPS12 MZO12 NJK12 NTG12 ODC12 OMY12 OWU12 PGQ12 PQM12 QAI12 QKE12 QUA12 RDW12 RNS12 RXO12 SHK12 SRG12 TBC12 TKY12 TUU12 UEQ12 UOM12 UYI12 VIE12 VSA12 WBW12 WLS12 WVO12 G65529 JC65529 SY65529 ACU65529 AMQ65529 AWM65529 BGI65529 BQE65529 CAA65529 CJW65529 CTS65529 DDO65529 DNK65529 DXG65529 EHC65529 EQY65529 FAU65529 FKQ65529 FUM65529 GEI65529 GOE65529 GYA65529 HHW65529 HRS65529 IBO65529 ILK65529 IVG65529 JFC65529 JOY65529 JYU65529 KIQ65529 KSM65529 LCI65529 LME65529 LWA65529 MFW65529 MPS65529 MZO65529 NJK65529 NTG65529 ODC65529 OMY65529 OWU65529 PGQ65529 PQM65529 QAI65529 QKE65529 QUA65529 RDW65529 RNS65529 RXO65529 SHK65529 SRG65529 TBC65529 TKY65529 TUU65529 UEQ65529 UOM65529 UYI65529 VIE65529 VSA65529 WBW65529 WLS65529 WVO65529 G131065 JC131065 SY131065 ACU131065 AMQ131065 AWM131065 BGI131065 BQE131065 CAA131065 CJW131065 CTS131065 DDO131065 DNK131065 DXG131065 EHC131065 EQY131065 FAU131065 FKQ131065 FUM131065 GEI131065 GOE131065 GYA131065 HHW131065 HRS131065 IBO131065 ILK131065 IVG131065 JFC131065 JOY131065 JYU131065 KIQ131065 KSM131065 LCI131065 LME131065 LWA131065 MFW131065 MPS131065 MZO131065 NJK131065 NTG131065 ODC131065 OMY131065 OWU131065 PGQ131065 PQM131065 QAI131065 QKE131065 QUA131065 RDW131065 RNS131065 RXO131065 SHK131065 SRG131065 TBC131065 TKY131065 TUU131065 UEQ131065 UOM131065 UYI131065 VIE131065 VSA131065 WBW131065 WLS131065 WVO131065 G196601 JC196601 SY196601 ACU196601 AMQ196601 AWM196601 BGI196601 BQE196601 CAA196601 CJW196601 CTS196601 DDO196601 DNK196601 DXG196601 EHC196601 EQY196601 FAU196601 FKQ196601 FUM196601 GEI196601 GOE196601 GYA196601 HHW196601 HRS196601 IBO196601 ILK196601 IVG196601 JFC196601 JOY196601 JYU196601 KIQ196601 KSM196601 LCI196601 LME196601 LWA196601 MFW196601 MPS196601 MZO196601 NJK196601 NTG196601 ODC196601 OMY196601 OWU196601 PGQ196601 PQM196601 QAI196601 QKE196601 QUA196601 RDW196601 RNS196601 RXO196601 SHK196601 SRG196601 TBC196601 TKY196601 TUU196601 UEQ196601 UOM196601 UYI196601 VIE196601 VSA196601 WBW196601 WLS196601 WVO196601 G262137 JC262137 SY262137 ACU262137 AMQ262137 AWM262137 BGI262137 BQE262137 CAA262137 CJW262137 CTS262137 DDO262137 DNK262137 DXG262137 EHC262137 EQY262137 FAU262137 FKQ262137 FUM262137 GEI262137 GOE262137 GYA262137 HHW262137 HRS262137 IBO262137 ILK262137 IVG262137 JFC262137 JOY262137 JYU262137 KIQ262137 KSM262137 LCI262137 LME262137 LWA262137 MFW262137 MPS262137 MZO262137 NJK262137 NTG262137 ODC262137 OMY262137 OWU262137 PGQ262137 PQM262137 QAI262137 QKE262137 QUA262137 RDW262137 RNS262137 RXO262137 SHK262137 SRG262137 TBC262137 TKY262137 TUU262137 UEQ262137 UOM262137 UYI262137 VIE262137 VSA262137 WBW262137 WLS262137 WVO262137 G327673 JC327673 SY327673 ACU327673 AMQ327673 AWM327673 BGI327673 BQE327673 CAA327673 CJW327673 CTS327673 DDO327673 DNK327673 DXG327673 EHC327673 EQY327673 FAU327673 FKQ327673 FUM327673 GEI327673 GOE327673 GYA327673 HHW327673 HRS327673 IBO327673 ILK327673 IVG327673 JFC327673 JOY327673 JYU327673 KIQ327673 KSM327673 LCI327673 LME327673 LWA327673 MFW327673 MPS327673 MZO327673 NJK327673 NTG327673 ODC327673 OMY327673 OWU327673 PGQ327673 PQM327673 QAI327673 QKE327673 QUA327673 RDW327673 RNS327673 RXO327673 SHK327673 SRG327673 TBC327673 TKY327673 TUU327673 UEQ327673 UOM327673 UYI327673 VIE327673 VSA327673 WBW327673 WLS327673 WVO327673 G393209 JC393209 SY393209 ACU393209 AMQ393209 AWM393209 BGI393209 BQE393209 CAA393209 CJW393209 CTS393209 DDO393209 DNK393209 DXG393209 EHC393209 EQY393209 FAU393209 FKQ393209 FUM393209 GEI393209 GOE393209 GYA393209 HHW393209 HRS393209 IBO393209 ILK393209 IVG393209 JFC393209 JOY393209 JYU393209 KIQ393209 KSM393209 LCI393209 LME393209 LWA393209 MFW393209 MPS393209 MZO393209 NJK393209 NTG393209 ODC393209 OMY393209 OWU393209 PGQ393209 PQM393209 QAI393209 QKE393209 QUA393209 RDW393209 RNS393209 RXO393209 SHK393209 SRG393209 TBC393209 TKY393209 TUU393209 UEQ393209 UOM393209 UYI393209 VIE393209 VSA393209 WBW393209 WLS393209 WVO393209 G458745 JC458745 SY458745 ACU458745 AMQ458745 AWM458745 BGI458745 BQE458745 CAA458745 CJW458745 CTS458745 DDO458745 DNK458745 DXG458745 EHC458745 EQY458745 FAU458745 FKQ458745 FUM458745 GEI458745 GOE458745 GYA458745 HHW458745 HRS458745 IBO458745 ILK458745 IVG458745 JFC458745 JOY458745 JYU458745 KIQ458745 KSM458745 LCI458745 LME458745 LWA458745 MFW458745 MPS458745 MZO458745 NJK458745 NTG458745 ODC458745 OMY458745 OWU458745 PGQ458745 PQM458745 QAI458745 QKE458745 QUA458745 RDW458745 RNS458745 RXO458745 SHK458745 SRG458745 TBC458745 TKY458745 TUU458745 UEQ458745 UOM458745 UYI458745 VIE458745 VSA458745 WBW458745 WLS458745 WVO458745 G524281 JC524281 SY524281 ACU524281 AMQ524281 AWM524281 BGI524281 BQE524281 CAA524281 CJW524281 CTS524281 DDO524281 DNK524281 DXG524281 EHC524281 EQY524281 FAU524281 FKQ524281 FUM524281 GEI524281 GOE524281 GYA524281 HHW524281 HRS524281 IBO524281 ILK524281 IVG524281 JFC524281 JOY524281 JYU524281 KIQ524281 KSM524281 LCI524281 LME524281 LWA524281 MFW524281 MPS524281 MZO524281 NJK524281 NTG524281 ODC524281 OMY524281 OWU524281 PGQ524281 PQM524281 QAI524281 QKE524281 QUA524281 RDW524281 RNS524281 RXO524281 SHK524281 SRG524281 TBC524281 TKY524281 TUU524281 UEQ524281 UOM524281 UYI524281 VIE524281 VSA524281 WBW524281 WLS524281 WVO524281 G589817 JC589817 SY589817 ACU589817 AMQ589817 AWM589817 BGI589817 BQE589817 CAA589817 CJW589817 CTS589817 DDO589817 DNK589817 DXG589817 EHC589817 EQY589817 FAU589817 FKQ589817 FUM589817 GEI589817 GOE589817 GYA589817 HHW589817 HRS589817 IBO589817 ILK589817 IVG589817 JFC589817 JOY589817 JYU589817 KIQ589817 KSM589817 LCI589817 LME589817 LWA589817 MFW589817 MPS589817 MZO589817 NJK589817 NTG589817 ODC589817 OMY589817 OWU589817 PGQ589817 PQM589817 QAI589817 QKE589817 QUA589817 RDW589817 RNS589817 RXO589817 SHK589817 SRG589817 TBC589817 TKY589817 TUU589817 UEQ589817 UOM589817 UYI589817 VIE589817 VSA589817 WBW589817 WLS589817 WVO589817 G655353 JC655353 SY655353 ACU655353 AMQ655353 AWM655353 BGI655353 BQE655353 CAA655353 CJW655353 CTS655353 DDO655353 DNK655353 DXG655353 EHC655353 EQY655353 FAU655353 FKQ655353 FUM655353 GEI655353 GOE655353 GYA655353 HHW655353 HRS655353 IBO655353 ILK655353 IVG655353 JFC655353 JOY655353 JYU655353 KIQ655353 KSM655353 LCI655353 LME655353 LWA655353 MFW655353 MPS655353 MZO655353 NJK655353 NTG655353 ODC655353 OMY655353 OWU655353 PGQ655353 PQM655353 QAI655353 QKE655353 QUA655353 RDW655353 RNS655353 RXO655353 SHK655353 SRG655353 TBC655353 TKY655353 TUU655353 UEQ655353 UOM655353 UYI655353 VIE655353 VSA655353 WBW655353 WLS655353 WVO655353 G720889 JC720889 SY720889 ACU720889 AMQ720889 AWM720889 BGI720889 BQE720889 CAA720889 CJW720889 CTS720889 DDO720889 DNK720889 DXG720889 EHC720889 EQY720889 FAU720889 FKQ720889 FUM720889 GEI720889 GOE720889 GYA720889 HHW720889 HRS720889 IBO720889 ILK720889 IVG720889 JFC720889 JOY720889 JYU720889 KIQ720889 KSM720889 LCI720889 LME720889 LWA720889 MFW720889 MPS720889 MZO720889 NJK720889 NTG720889 ODC720889 OMY720889 OWU720889 PGQ720889 PQM720889 QAI720889 QKE720889 QUA720889 RDW720889 RNS720889 RXO720889 SHK720889 SRG720889 TBC720889 TKY720889 TUU720889 UEQ720889 UOM720889 UYI720889 VIE720889 VSA720889 WBW720889 WLS720889 WVO720889 G786425 JC786425 SY786425 ACU786425 AMQ786425 AWM786425 BGI786425 BQE786425 CAA786425 CJW786425 CTS786425 DDO786425 DNK786425 DXG786425 EHC786425 EQY786425 FAU786425 FKQ786425 FUM786425 GEI786425 GOE786425 GYA786425 HHW786425 HRS786425 IBO786425 ILK786425 IVG786425 JFC786425 JOY786425 JYU786425 KIQ786425 KSM786425 LCI786425 LME786425 LWA786425 MFW786425 MPS786425 MZO786425 NJK786425 NTG786425 ODC786425 OMY786425 OWU786425 PGQ786425 PQM786425 QAI786425 QKE786425 QUA786425 RDW786425 RNS786425 RXO786425 SHK786425 SRG786425 TBC786425 TKY786425 TUU786425 UEQ786425 UOM786425 UYI786425 VIE786425 VSA786425 WBW786425 WLS786425 WVO786425 G851961 JC851961 SY851961 ACU851961 AMQ851961 AWM851961 BGI851961 BQE851961 CAA851961 CJW851961 CTS851961 DDO851961 DNK851961 DXG851961 EHC851961 EQY851961 FAU851961 FKQ851961 FUM851961 GEI851961 GOE851961 GYA851961 HHW851961 HRS851961 IBO851961 ILK851961 IVG851961 JFC851961 JOY851961 JYU851961 KIQ851961 KSM851961 LCI851961 LME851961 LWA851961 MFW851961 MPS851961 MZO851961 NJK851961 NTG851961 ODC851961 OMY851961 OWU851961 PGQ851961 PQM851961 QAI851961 QKE851961 QUA851961 RDW851961 RNS851961 RXO851961 SHK851961 SRG851961 TBC851961 TKY851961 TUU851961 UEQ851961 UOM851961 UYI851961 VIE851961 VSA851961 WBW851961 WLS851961 WVO851961 G917497 JC917497 SY917497 ACU917497 AMQ917497 AWM917497 BGI917497 BQE917497 CAA917497 CJW917497 CTS917497 DDO917497 DNK917497 DXG917497 EHC917497 EQY917497 FAU917497 FKQ917497 FUM917497 GEI917497 GOE917497 GYA917497 HHW917497 HRS917497 IBO917497 ILK917497 IVG917497 JFC917497 JOY917497 JYU917497 KIQ917497 KSM917497 LCI917497 LME917497 LWA917497 MFW917497 MPS917497 MZO917497 NJK917497 NTG917497 ODC917497 OMY917497 OWU917497 PGQ917497 PQM917497 QAI917497 QKE917497 QUA917497 RDW917497 RNS917497 RXO917497 SHK917497 SRG917497 TBC917497 TKY917497 TUU917497 UEQ917497 UOM917497 UYI917497 VIE917497 VSA917497 WBW917497 WLS917497 WVO917497 G983033 JC983033 SY983033 ACU983033 AMQ983033 AWM983033 BGI983033 BQE983033 CAA983033 CJW983033 CTS983033 DDO983033 DNK983033 DXG983033 EHC983033 EQY983033 FAU983033 FKQ983033 FUM983033 GEI983033 GOE983033 GYA983033 HHW983033 HRS983033 IBO983033 ILK983033 IVG983033 JFC983033 JOY983033 JYU983033 KIQ983033 KSM983033 LCI983033 LME983033 LWA983033 MFW983033 MPS983033 MZO983033 NJK983033 NTG983033 ODC983033 OMY983033 OWU983033 PGQ983033 PQM983033 QAI983033 QKE983033 QUA983033 RDW983033 RNS983033 RXO983033 SHK983033 SRG983033 TBC983033 TKY983033 TUU983033 UEQ983033 UOM983033 UYI983033 VIE983033 VSA983033 WBW983033 WLS983033 WVO983033 WVO983035 JC14 SY14 ACU14 AMQ14 AWM14 BGI14 BQE14 CAA14 CJW14 CTS14 DDO14 DNK14 DXG14 EHC14 EQY14 FAU14 FKQ14 FUM14 GEI14 GOE14 GYA14 HHW14 HRS14 IBO14 ILK14 IVG14 JFC14 JOY14 JYU14 KIQ14 KSM14 LCI14 LME14 LWA14 MFW14 MPS14 MZO14 NJK14 NTG14 ODC14 OMY14 OWU14 PGQ14 PQM14 QAI14 QKE14 QUA14 RDW14 RNS14 RXO14 SHK14 SRG14 TBC14 TKY14 TUU14 UEQ14 UOM14 UYI14 VIE14 VSA14 WBW14 WLS14 WVO14 G65531 JC65531 SY65531 ACU65531 AMQ65531 AWM65531 BGI65531 BQE65531 CAA65531 CJW65531 CTS65531 DDO65531 DNK65531 DXG65531 EHC65531 EQY65531 FAU65531 FKQ65531 FUM65531 GEI65531 GOE65531 GYA65531 HHW65531 HRS65531 IBO65531 ILK65531 IVG65531 JFC65531 JOY65531 JYU65531 KIQ65531 KSM65531 LCI65531 LME65531 LWA65531 MFW65531 MPS65531 MZO65531 NJK65531 NTG65531 ODC65531 OMY65531 OWU65531 PGQ65531 PQM65531 QAI65531 QKE65531 QUA65531 RDW65531 RNS65531 RXO65531 SHK65531 SRG65531 TBC65531 TKY65531 TUU65531 UEQ65531 UOM65531 UYI65531 VIE65531 VSA65531 WBW65531 WLS65531 WVO65531 G131067 JC131067 SY131067 ACU131067 AMQ131067 AWM131067 BGI131067 BQE131067 CAA131067 CJW131067 CTS131067 DDO131067 DNK131067 DXG131067 EHC131067 EQY131067 FAU131067 FKQ131067 FUM131067 GEI131067 GOE131067 GYA131067 HHW131067 HRS131067 IBO131067 ILK131067 IVG131067 JFC131067 JOY131067 JYU131067 KIQ131067 KSM131067 LCI131067 LME131067 LWA131067 MFW131067 MPS131067 MZO131067 NJK131067 NTG131067 ODC131067 OMY131067 OWU131067 PGQ131067 PQM131067 QAI131067 QKE131067 QUA131067 RDW131067 RNS131067 RXO131067 SHK131067 SRG131067 TBC131067 TKY131067 TUU131067 UEQ131067 UOM131067 UYI131067 VIE131067 VSA131067 WBW131067 WLS131067 WVO131067 G196603 JC196603 SY196603 ACU196603 AMQ196603 AWM196603 BGI196603 BQE196603 CAA196603 CJW196603 CTS196603 DDO196603 DNK196603 DXG196603 EHC196603 EQY196603 FAU196603 FKQ196603 FUM196603 GEI196603 GOE196603 GYA196603 HHW196603 HRS196603 IBO196603 ILK196603 IVG196603 JFC196603 JOY196603 JYU196603 KIQ196603 KSM196603 LCI196603 LME196603 LWA196603 MFW196603 MPS196603 MZO196603 NJK196603 NTG196603 ODC196603 OMY196603 OWU196603 PGQ196603 PQM196603 QAI196603 QKE196603 QUA196603 RDW196603 RNS196603 RXO196603 SHK196603 SRG196603 TBC196603 TKY196603 TUU196603 UEQ196603 UOM196603 UYI196603 VIE196603 VSA196603 WBW196603 WLS196603 WVO196603 G262139 JC262139 SY262139 ACU262139 AMQ262139 AWM262139 BGI262139 BQE262139 CAA262139 CJW262139 CTS262139 DDO262139 DNK262139 DXG262139 EHC262139 EQY262139 FAU262139 FKQ262139 FUM262139 GEI262139 GOE262139 GYA262139 HHW262139 HRS262139 IBO262139 ILK262139 IVG262139 JFC262139 JOY262139 JYU262139 KIQ262139 KSM262139 LCI262139 LME262139 LWA262139 MFW262139 MPS262139 MZO262139 NJK262139 NTG262139 ODC262139 OMY262139 OWU262139 PGQ262139 PQM262139 QAI262139 QKE262139 QUA262139 RDW262139 RNS262139 RXO262139 SHK262139 SRG262139 TBC262139 TKY262139 TUU262139 UEQ262139 UOM262139 UYI262139 VIE262139 VSA262139 WBW262139 WLS262139 WVO262139 G327675 JC327675 SY327675 ACU327675 AMQ327675 AWM327675 BGI327675 BQE327675 CAA327675 CJW327675 CTS327675 DDO327675 DNK327675 DXG327675 EHC327675 EQY327675 FAU327675 FKQ327675 FUM327675 GEI327675 GOE327675 GYA327675 HHW327675 HRS327675 IBO327675 ILK327675 IVG327675 JFC327675 JOY327675 JYU327675 KIQ327675 KSM327675 LCI327675 LME327675 LWA327675 MFW327675 MPS327675 MZO327675 NJK327675 NTG327675 ODC327675 OMY327675 OWU327675 PGQ327675 PQM327675 QAI327675 QKE327675 QUA327675 RDW327675 RNS327675 RXO327675 SHK327675 SRG327675 TBC327675 TKY327675 TUU327675 UEQ327675 UOM327675 UYI327675 VIE327675 VSA327675 WBW327675 WLS327675 WVO327675 G393211 JC393211 SY393211 ACU393211 AMQ393211 AWM393211 BGI393211 BQE393211 CAA393211 CJW393211 CTS393211 DDO393211 DNK393211 DXG393211 EHC393211 EQY393211 FAU393211 FKQ393211 FUM393211 GEI393211 GOE393211 GYA393211 HHW393211 HRS393211 IBO393211 ILK393211 IVG393211 JFC393211 JOY393211 JYU393211 KIQ393211 KSM393211 LCI393211 LME393211 LWA393211 MFW393211 MPS393211 MZO393211 NJK393211 NTG393211 ODC393211 OMY393211 OWU393211 PGQ393211 PQM393211 QAI393211 QKE393211 QUA393211 RDW393211 RNS393211 RXO393211 SHK393211 SRG393211 TBC393211 TKY393211 TUU393211 UEQ393211 UOM393211 UYI393211 VIE393211 VSA393211 WBW393211 WLS393211 WVO393211 G458747 JC458747 SY458747 ACU458747 AMQ458747 AWM458747 BGI458747 BQE458747 CAA458747 CJW458747 CTS458747 DDO458747 DNK458747 DXG458747 EHC458747 EQY458747 FAU458747 FKQ458747 FUM458747 GEI458747 GOE458747 GYA458747 HHW458747 HRS458747 IBO458747 ILK458747 IVG458747 JFC458747 JOY458747 JYU458747 KIQ458747 KSM458747 LCI458747 LME458747 LWA458747 MFW458747 MPS458747 MZO458747 NJK458747 NTG458747 ODC458747 OMY458747 OWU458747 PGQ458747 PQM458747 QAI458747 QKE458747 QUA458747 RDW458747 RNS458747 RXO458747 SHK458747 SRG458747 TBC458747 TKY458747 TUU458747 UEQ458747 UOM458747 UYI458747 VIE458747 VSA458747 WBW458747 WLS458747 WVO458747 G524283 JC524283 SY524283 ACU524283 AMQ524283 AWM524283 BGI524283 BQE524283 CAA524283 CJW524283 CTS524283 DDO524283 DNK524283 DXG524283 EHC524283 EQY524283 FAU524283 FKQ524283 FUM524283 GEI524283 GOE524283 GYA524283 HHW524283 HRS524283 IBO524283 ILK524283 IVG524283 JFC524283 JOY524283 JYU524283 KIQ524283 KSM524283 LCI524283 LME524283 LWA524283 MFW524283 MPS524283 MZO524283 NJK524283 NTG524283 ODC524283 OMY524283 OWU524283 PGQ524283 PQM524283 QAI524283 QKE524283 QUA524283 RDW524283 RNS524283 RXO524283 SHK524283 SRG524283 TBC524283 TKY524283 TUU524283 UEQ524283 UOM524283 UYI524283 VIE524283 VSA524283 WBW524283 WLS524283 WVO524283 G589819 JC589819 SY589819 ACU589819 AMQ589819 AWM589819 BGI589819 BQE589819 CAA589819 CJW589819 CTS589819 DDO589819 DNK589819 DXG589819 EHC589819 EQY589819 FAU589819 FKQ589819 FUM589819 GEI589819 GOE589819 GYA589819 HHW589819 HRS589819 IBO589819 ILK589819 IVG589819 JFC589819 JOY589819 JYU589819 KIQ589819 KSM589819 LCI589819 LME589819 LWA589819 MFW589819 MPS589819 MZO589819 NJK589819 NTG589819 ODC589819 OMY589819 OWU589819 PGQ589819 PQM589819 QAI589819 QKE589819 QUA589819 RDW589819 RNS589819 RXO589819 SHK589819 SRG589819 TBC589819 TKY589819 TUU589819 UEQ589819 UOM589819 UYI589819 VIE589819 VSA589819 WBW589819 WLS589819 WVO589819 G655355 JC655355 SY655355 ACU655355 AMQ655355 AWM655355 BGI655355 BQE655355 CAA655355 CJW655355 CTS655355 DDO655355 DNK655355 DXG655355 EHC655355 EQY655355 FAU655355 FKQ655355 FUM655355 GEI655355 GOE655355 GYA655355 HHW655355 HRS655355 IBO655355 ILK655355 IVG655355 JFC655355 JOY655355 JYU655355 KIQ655355 KSM655355 LCI655355 LME655355 LWA655355 MFW655355 MPS655355 MZO655355 NJK655355 NTG655355 ODC655355 OMY655355 OWU655355 PGQ655355 PQM655355 QAI655355 QKE655355 QUA655355 RDW655355 RNS655355 RXO655355 SHK655355 SRG655355 TBC655355 TKY655355 TUU655355 UEQ655355 UOM655355 UYI655355 VIE655355 VSA655355 WBW655355 WLS655355 WVO655355 G720891 JC720891 SY720891 ACU720891 AMQ720891 AWM720891 BGI720891 BQE720891 CAA720891 CJW720891 CTS720891 DDO720891 DNK720891 DXG720891 EHC720891 EQY720891 FAU720891 FKQ720891 FUM720891 GEI720891 GOE720891 GYA720891 HHW720891 HRS720891 IBO720891 ILK720891 IVG720891 JFC720891 JOY720891 JYU720891 KIQ720891 KSM720891 LCI720891 LME720891 LWA720891 MFW720891 MPS720891 MZO720891 NJK720891 NTG720891 ODC720891 OMY720891 OWU720891 PGQ720891 PQM720891 QAI720891 QKE720891 QUA720891 RDW720891 RNS720891 RXO720891 SHK720891 SRG720891 TBC720891 TKY720891 TUU720891 UEQ720891 UOM720891 UYI720891 VIE720891 VSA720891 WBW720891 WLS720891 WVO720891 G786427 JC786427 SY786427 ACU786427 AMQ786427 AWM786427 BGI786427 BQE786427 CAA786427 CJW786427 CTS786427 DDO786427 DNK786427 DXG786427 EHC786427 EQY786427 FAU786427 FKQ786427 FUM786427 GEI786427 GOE786427 GYA786427 HHW786427 HRS786427 IBO786427 ILK786427 IVG786427 JFC786427 JOY786427 JYU786427 KIQ786427 KSM786427 LCI786427 LME786427 LWA786427 MFW786427 MPS786427 MZO786427 NJK786427 NTG786427 ODC786427 OMY786427 OWU786427 PGQ786427 PQM786427 QAI786427 QKE786427 QUA786427 RDW786427 RNS786427 RXO786427 SHK786427 SRG786427 TBC786427 TKY786427 TUU786427 UEQ786427 UOM786427 UYI786427 VIE786427 VSA786427 WBW786427 WLS786427 WVO786427 G851963 JC851963 SY851963 ACU851963 AMQ851963 AWM851963 BGI851963 BQE851963 CAA851963 CJW851963 CTS851963 DDO851963 DNK851963 DXG851963 EHC851963 EQY851963 FAU851963 FKQ851963 FUM851963 GEI851963 GOE851963 GYA851963 HHW851963 HRS851963 IBO851963 ILK851963 IVG851963 JFC851963 JOY851963 JYU851963 KIQ851963 KSM851963 LCI851963 LME851963 LWA851963 MFW851963 MPS851963 MZO851963 NJK851963 NTG851963 ODC851963 OMY851963 OWU851963 PGQ851963 PQM851963 QAI851963 QKE851963 QUA851963 RDW851963 RNS851963 RXO851963 SHK851963 SRG851963 TBC851963 TKY851963 TUU851963 UEQ851963 UOM851963 UYI851963 VIE851963 VSA851963 WBW851963 WLS851963 WVO851963 G917499 JC917499 SY917499 ACU917499 AMQ917499 AWM917499 BGI917499 BQE917499 CAA917499 CJW917499 CTS917499 DDO917499 DNK917499 DXG917499 EHC917499 EQY917499 FAU917499 FKQ917499 FUM917499 GEI917499 GOE917499 GYA917499 HHW917499 HRS917499 IBO917499 ILK917499 IVG917499 JFC917499 JOY917499 JYU917499 KIQ917499 KSM917499 LCI917499 LME917499 LWA917499 MFW917499 MPS917499 MZO917499 NJK917499 NTG917499 ODC917499 OMY917499 OWU917499 PGQ917499 PQM917499 QAI917499 QKE917499 QUA917499 RDW917499 RNS917499 RXO917499 SHK917499 SRG917499 TBC917499 TKY917499 TUU917499 UEQ917499 UOM917499 UYI917499 VIE917499 VSA917499 WBW917499 WLS917499 WVO917499 G983035 JC983035 SY983035 ACU983035 AMQ983035 AWM983035 BGI983035 BQE983035 CAA983035 CJW983035 CTS983035 DDO983035 DNK983035 DXG983035 EHC983035 EQY983035 FAU983035 FKQ983035 FUM983035 GEI983035 GOE983035 GYA983035 HHW983035 HRS983035 IBO983035 ILK983035 IVG983035 JFC983035 JOY983035 JYU983035 KIQ983035 KSM983035 LCI983035 LME983035 LWA983035 MFW983035 MPS983035 MZO983035 NJK983035 NTG983035 ODC983035 OMY983035 OWU983035 PGQ983035 PQM983035 QAI983035 QKE983035 QUA983035 RDW983035 RNS983035 RXO983035 SHK983035 SRG983035 TBC983035 TKY983035 TUU983035 UEQ983035 UOM983035 UYI983035 VIE983035 VSA983035 WBW983035 WLS983035 G26" xr:uid="{CC880BC5-09C7-4A15-8260-F7B7ADDC51B3}">
      <formula1>0</formula1>
      <formula2>1000</formula2>
    </dataValidation>
    <dataValidation type="list" allowBlank="1" showInputMessage="1" showErrorMessage="1" sqref="WVO983048 JC31:JC32 SY31:SY32 ACU31:ACU32 AMQ31:AMQ32 AWM31:AWM32 BGI31:BGI32 BQE31:BQE32 CAA31:CAA32 CJW31:CJW32 CTS31:CTS32 DDO31:DDO32 DNK31:DNK32 DXG31:DXG32 EHC31:EHC32 EQY31:EQY32 FAU31:FAU32 FKQ31:FKQ32 FUM31:FUM32 GEI31:GEI32 GOE31:GOE32 GYA31:GYA32 HHW31:HHW32 HRS31:HRS32 IBO31:IBO32 ILK31:ILK32 IVG31:IVG32 JFC31:JFC32 JOY31:JOY32 JYU31:JYU32 KIQ31:KIQ32 KSM31:KSM32 LCI31:LCI32 LME31:LME32 LWA31:LWA32 MFW31:MFW32 MPS31:MPS32 MZO31:MZO32 NJK31:NJK32 NTG31:NTG32 ODC31:ODC32 OMY31:OMY32 OWU31:OWU32 PGQ31:PGQ32 PQM31:PQM32 QAI31:QAI32 QKE31:QKE32 QUA31:QUA32 RDW31:RDW32 RNS31:RNS32 RXO31:RXO32 SHK31:SHK32 SRG31:SRG32 TBC31:TBC32 TKY31:TKY32 TUU31:TUU32 UEQ31:UEQ32 UOM31:UOM32 UYI31:UYI32 VIE31:VIE32 VSA31:VSA32 WBW31:WBW32 WLS31:WLS32 WVO31:WVO32 G65555:G65556 JC65555:JC65556 SY65555:SY65556 ACU65555:ACU65556 AMQ65555:AMQ65556 AWM65555:AWM65556 BGI65555:BGI65556 BQE65555:BQE65556 CAA65555:CAA65556 CJW65555:CJW65556 CTS65555:CTS65556 DDO65555:DDO65556 DNK65555:DNK65556 DXG65555:DXG65556 EHC65555:EHC65556 EQY65555:EQY65556 FAU65555:FAU65556 FKQ65555:FKQ65556 FUM65555:FUM65556 GEI65555:GEI65556 GOE65555:GOE65556 GYA65555:GYA65556 HHW65555:HHW65556 HRS65555:HRS65556 IBO65555:IBO65556 ILK65555:ILK65556 IVG65555:IVG65556 JFC65555:JFC65556 JOY65555:JOY65556 JYU65555:JYU65556 KIQ65555:KIQ65556 KSM65555:KSM65556 LCI65555:LCI65556 LME65555:LME65556 LWA65555:LWA65556 MFW65555:MFW65556 MPS65555:MPS65556 MZO65555:MZO65556 NJK65555:NJK65556 NTG65555:NTG65556 ODC65555:ODC65556 OMY65555:OMY65556 OWU65555:OWU65556 PGQ65555:PGQ65556 PQM65555:PQM65556 QAI65555:QAI65556 QKE65555:QKE65556 QUA65555:QUA65556 RDW65555:RDW65556 RNS65555:RNS65556 RXO65555:RXO65556 SHK65555:SHK65556 SRG65555:SRG65556 TBC65555:TBC65556 TKY65555:TKY65556 TUU65555:TUU65556 UEQ65555:UEQ65556 UOM65555:UOM65556 UYI65555:UYI65556 VIE65555:VIE65556 VSA65555:VSA65556 WBW65555:WBW65556 WLS65555:WLS65556 WVO65555:WVO65556 G131091:G131092 JC131091:JC131092 SY131091:SY131092 ACU131091:ACU131092 AMQ131091:AMQ131092 AWM131091:AWM131092 BGI131091:BGI131092 BQE131091:BQE131092 CAA131091:CAA131092 CJW131091:CJW131092 CTS131091:CTS131092 DDO131091:DDO131092 DNK131091:DNK131092 DXG131091:DXG131092 EHC131091:EHC131092 EQY131091:EQY131092 FAU131091:FAU131092 FKQ131091:FKQ131092 FUM131091:FUM131092 GEI131091:GEI131092 GOE131091:GOE131092 GYA131091:GYA131092 HHW131091:HHW131092 HRS131091:HRS131092 IBO131091:IBO131092 ILK131091:ILK131092 IVG131091:IVG131092 JFC131091:JFC131092 JOY131091:JOY131092 JYU131091:JYU131092 KIQ131091:KIQ131092 KSM131091:KSM131092 LCI131091:LCI131092 LME131091:LME131092 LWA131091:LWA131092 MFW131091:MFW131092 MPS131091:MPS131092 MZO131091:MZO131092 NJK131091:NJK131092 NTG131091:NTG131092 ODC131091:ODC131092 OMY131091:OMY131092 OWU131091:OWU131092 PGQ131091:PGQ131092 PQM131091:PQM131092 QAI131091:QAI131092 QKE131091:QKE131092 QUA131091:QUA131092 RDW131091:RDW131092 RNS131091:RNS131092 RXO131091:RXO131092 SHK131091:SHK131092 SRG131091:SRG131092 TBC131091:TBC131092 TKY131091:TKY131092 TUU131091:TUU131092 UEQ131091:UEQ131092 UOM131091:UOM131092 UYI131091:UYI131092 VIE131091:VIE131092 VSA131091:VSA131092 WBW131091:WBW131092 WLS131091:WLS131092 WVO131091:WVO131092 G196627:G196628 JC196627:JC196628 SY196627:SY196628 ACU196627:ACU196628 AMQ196627:AMQ196628 AWM196627:AWM196628 BGI196627:BGI196628 BQE196627:BQE196628 CAA196627:CAA196628 CJW196627:CJW196628 CTS196627:CTS196628 DDO196627:DDO196628 DNK196627:DNK196628 DXG196627:DXG196628 EHC196627:EHC196628 EQY196627:EQY196628 FAU196627:FAU196628 FKQ196627:FKQ196628 FUM196627:FUM196628 GEI196627:GEI196628 GOE196627:GOE196628 GYA196627:GYA196628 HHW196627:HHW196628 HRS196627:HRS196628 IBO196627:IBO196628 ILK196627:ILK196628 IVG196627:IVG196628 JFC196627:JFC196628 JOY196627:JOY196628 JYU196627:JYU196628 KIQ196627:KIQ196628 KSM196627:KSM196628 LCI196627:LCI196628 LME196627:LME196628 LWA196627:LWA196628 MFW196627:MFW196628 MPS196627:MPS196628 MZO196627:MZO196628 NJK196627:NJK196628 NTG196627:NTG196628 ODC196627:ODC196628 OMY196627:OMY196628 OWU196627:OWU196628 PGQ196627:PGQ196628 PQM196627:PQM196628 QAI196627:QAI196628 QKE196627:QKE196628 QUA196627:QUA196628 RDW196627:RDW196628 RNS196627:RNS196628 RXO196627:RXO196628 SHK196627:SHK196628 SRG196627:SRG196628 TBC196627:TBC196628 TKY196627:TKY196628 TUU196627:TUU196628 UEQ196627:UEQ196628 UOM196627:UOM196628 UYI196627:UYI196628 VIE196627:VIE196628 VSA196627:VSA196628 WBW196627:WBW196628 WLS196627:WLS196628 WVO196627:WVO196628 G262163:G262164 JC262163:JC262164 SY262163:SY262164 ACU262163:ACU262164 AMQ262163:AMQ262164 AWM262163:AWM262164 BGI262163:BGI262164 BQE262163:BQE262164 CAA262163:CAA262164 CJW262163:CJW262164 CTS262163:CTS262164 DDO262163:DDO262164 DNK262163:DNK262164 DXG262163:DXG262164 EHC262163:EHC262164 EQY262163:EQY262164 FAU262163:FAU262164 FKQ262163:FKQ262164 FUM262163:FUM262164 GEI262163:GEI262164 GOE262163:GOE262164 GYA262163:GYA262164 HHW262163:HHW262164 HRS262163:HRS262164 IBO262163:IBO262164 ILK262163:ILK262164 IVG262163:IVG262164 JFC262163:JFC262164 JOY262163:JOY262164 JYU262163:JYU262164 KIQ262163:KIQ262164 KSM262163:KSM262164 LCI262163:LCI262164 LME262163:LME262164 LWA262163:LWA262164 MFW262163:MFW262164 MPS262163:MPS262164 MZO262163:MZO262164 NJK262163:NJK262164 NTG262163:NTG262164 ODC262163:ODC262164 OMY262163:OMY262164 OWU262163:OWU262164 PGQ262163:PGQ262164 PQM262163:PQM262164 QAI262163:QAI262164 QKE262163:QKE262164 QUA262163:QUA262164 RDW262163:RDW262164 RNS262163:RNS262164 RXO262163:RXO262164 SHK262163:SHK262164 SRG262163:SRG262164 TBC262163:TBC262164 TKY262163:TKY262164 TUU262163:TUU262164 UEQ262163:UEQ262164 UOM262163:UOM262164 UYI262163:UYI262164 VIE262163:VIE262164 VSA262163:VSA262164 WBW262163:WBW262164 WLS262163:WLS262164 WVO262163:WVO262164 G327699:G327700 JC327699:JC327700 SY327699:SY327700 ACU327699:ACU327700 AMQ327699:AMQ327700 AWM327699:AWM327700 BGI327699:BGI327700 BQE327699:BQE327700 CAA327699:CAA327700 CJW327699:CJW327700 CTS327699:CTS327700 DDO327699:DDO327700 DNK327699:DNK327700 DXG327699:DXG327700 EHC327699:EHC327700 EQY327699:EQY327700 FAU327699:FAU327700 FKQ327699:FKQ327700 FUM327699:FUM327700 GEI327699:GEI327700 GOE327699:GOE327700 GYA327699:GYA327700 HHW327699:HHW327700 HRS327699:HRS327700 IBO327699:IBO327700 ILK327699:ILK327700 IVG327699:IVG327700 JFC327699:JFC327700 JOY327699:JOY327700 JYU327699:JYU327700 KIQ327699:KIQ327700 KSM327699:KSM327700 LCI327699:LCI327700 LME327699:LME327700 LWA327699:LWA327700 MFW327699:MFW327700 MPS327699:MPS327700 MZO327699:MZO327700 NJK327699:NJK327700 NTG327699:NTG327700 ODC327699:ODC327700 OMY327699:OMY327700 OWU327699:OWU327700 PGQ327699:PGQ327700 PQM327699:PQM327700 QAI327699:QAI327700 QKE327699:QKE327700 QUA327699:QUA327700 RDW327699:RDW327700 RNS327699:RNS327700 RXO327699:RXO327700 SHK327699:SHK327700 SRG327699:SRG327700 TBC327699:TBC327700 TKY327699:TKY327700 TUU327699:TUU327700 UEQ327699:UEQ327700 UOM327699:UOM327700 UYI327699:UYI327700 VIE327699:VIE327700 VSA327699:VSA327700 WBW327699:WBW327700 WLS327699:WLS327700 WVO327699:WVO327700 G393235:G393236 JC393235:JC393236 SY393235:SY393236 ACU393235:ACU393236 AMQ393235:AMQ393236 AWM393235:AWM393236 BGI393235:BGI393236 BQE393235:BQE393236 CAA393235:CAA393236 CJW393235:CJW393236 CTS393235:CTS393236 DDO393235:DDO393236 DNK393235:DNK393236 DXG393235:DXG393236 EHC393235:EHC393236 EQY393235:EQY393236 FAU393235:FAU393236 FKQ393235:FKQ393236 FUM393235:FUM393236 GEI393235:GEI393236 GOE393235:GOE393236 GYA393235:GYA393236 HHW393235:HHW393236 HRS393235:HRS393236 IBO393235:IBO393236 ILK393235:ILK393236 IVG393235:IVG393236 JFC393235:JFC393236 JOY393235:JOY393236 JYU393235:JYU393236 KIQ393235:KIQ393236 KSM393235:KSM393236 LCI393235:LCI393236 LME393235:LME393236 LWA393235:LWA393236 MFW393235:MFW393236 MPS393235:MPS393236 MZO393235:MZO393236 NJK393235:NJK393236 NTG393235:NTG393236 ODC393235:ODC393236 OMY393235:OMY393236 OWU393235:OWU393236 PGQ393235:PGQ393236 PQM393235:PQM393236 QAI393235:QAI393236 QKE393235:QKE393236 QUA393235:QUA393236 RDW393235:RDW393236 RNS393235:RNS393236 RXO393235:RXO393236 SHK393235:SHK393236 SRG393235:SRG393236 TBC393235:TBC393236 TKY393235:TKY393236 TUU393235:TUU393236 UEQ393235:UEQ393236 UOM393235:UOM393236 UYI393235:UYI393236 VIE393235:VIE393236 VSA393235:VSA393236 WBW393235:WBW393236 WLS393235:WLS393236 WVO393235:WVO393236 G458771:G458772 JC458771:JC458772 SY458771:SY458772 ACU458771:ACU458772 AMQ458771:AMQ458772 AWM458771:AWM458772 BGI458771:BGI458772 BQE458771:BQE458772 CAA458771:CAA458772 CJW458771:CJW458772 CTS458771:CTS458772 DDO458771:DDO458772 DNK458771:DNK458772 DXG458771:DXG458772 EHC458771:EHC458772 EQY458771:EQY458772 FAU458771:FAU458772 FKQ458771:FKQ458772 FUM458771:FUM458772 GEI458771:GEI458772 GOE458771:GOE458772 GYA458771:GYA458772 HHW458771:HHW458772 HRS458771:HRS458772 IBO458771:IBO458772 ILK458771:ILK458772 IVG458771:IVG458772 JFC458771:JFC458772 JOY458771:JOY458772 JYU458771:JYU458772 KIQ458771:KIQ458772 KSM458771:KSM458772 LCI458771:LCI458772 LME458771:LME458772 LWA458771:LWA458772 MFW458771:MFW458772 MPS458771:MPS458772 MZO458771:MZO458772 NJK458771:NJK458772 NTG458771:NTG458772 ODC458771:ODC458772 OMY458771:OMY458772 OWU458771:OWU458772 PGQ458771:PGQ458772 PQM458771:PQM458772 QAI458771:QAI458772 QKE458771:QKE458772 QUA458771:QUA458772 RDW458771:RDW458772 RNS458771:RNS458772 RXO458771:RXO458772 SHK458771:SHK458772 SRG458771:SRG458772 TBC458771:TBC458772 TKY458771:TKY458772 TUU458771:TUU458772 UEQ458771:UEQ458772 UOM458771:UOM458772 UYI458771:UYI458772 VIE458771:VIE458772 VSA458771:VSA458772 WBW458771:WBW458772 WLS458771:WLS458772 WVO458771:WVO458772 G524307:G524308 JC524307:JC524308 SY524307:SY524308 ACU524307:ACU524308 AMQ524307:AMQ524308 AWM524307:AWM524308 BGI524307:BGI524308 BQE524307:BQE524308 CAA524307:CAA524308 CJW524307:CJW524308 CTS524307:CTS524308 DDO524307:DDO524308 DNK524307:DNK524308 DXG524307:DXG524308 EHC524307:EHC524308 EQY524307:EQY524308 FAU524307:FAU524308 FKQ524307:FKQ524308 FUM524307:FUM524308 GEI524307:GEI524308 GOE524307:GOE524308 GYA524307:GYA524308 HHW524307:HHW524308 HRS524307:HRS524308 IBO524307:IBO524308 ILK524307:ILK524308 IVG524307:IVG524308 JFC524307:JFC524308 JOY524307:JOY524308 JYU524307:JYU524308 KIQ524307:KIQ524308 KSM524307:KSM524308 LCI524307:LCI524308 LME524307:LME524308 LWA524307:LWA524308 MFW524307:MFW524308 MPS524307:MPS524308 MZO524307:MZO524308 NJK524307:NJK524308 NTG524307:NTG524308 ODC524307:ODC524308 OMY524307:OMY524308 OWU524307:OWU524308 PGQ524307:PGQ524308 PQM524307:PQM524308 QAI524307:QAI524308 QKE524307:QKE524308 QUA524307:QUA524308 RDW524307:RDW524308 RNS524307:RNS524308 RXO524307:RXO524308 SHK524307:SHK524308 SRG524307:SRG524308 TBC524307:TBC524308 TKY524307:TKY524308 TUU524307:TUU524308 UEQ524307:UEQ524308 UOM524307:UOM524308 UYI524307:UYI524308 VIE524307:VIE524308 VSA524307:VSA524308 WBW524307:WBW524308 WLS524307:WLS524308 WVO524307:WVO524308 G589843:G589844 JC589843:JC589844 SY589843:SY589844 ACU589843:ACU589844 AMQ589843:AMQ589844 AWM589843:AWM589844 BGI589843:BGI589844 BQE589843:BQE589844 CAA589843:CAA589844 CJW589843:CJW589844 CTS589843:CTS589844 DDO589843:DDO589844 DNK589843:DNK589844 DXG589843:DXG589844 EHC589843:EHC589844 EQY589843:EQY589844 FAU589843:FAU589844 FKQ589843:FKQ589844 FUM589843:FUM589844 GEI589843:GEI589844 GOE589843:GOE589844 GYA589843:GYA589844 HHW589843:HHW589844 HRS589843:HRS589844 IBO589843:IBO589844 ILK589843:ILK589844 IVG589843:IVG589844 JFC589843:JFC589844 JOY589843:JOY589844 JYU589843:JYU589844 KIQ589843:KIQ589844 KSM589843:KSM589844 LCI589843:LCI589844 LME589843:LME589844 LWA589843:LWA589844 MFW589843:MFW589844 MPS589843:MPS589844 MZO589843:MZO589844 NJK589843:NJK589844 NTG589843:NTG589844 ODC589843:ODC589844 OMY589843:OMY589844 OWU589843:OWU589844 PGQ589843:PGQ589844 PQM589843:PQM589844 QAI589843:QAI589844 QKE589843:QKE589844 QUA589843:QUA589844 RDW589843:RDW589844 RNS589843:RNS589844 RXO589843:RXO589844 SHK589843:SHK589844 SRG589843:SRG589844 TBC589843:TBC589844 TKY589843:TKY589844 TUU589843:TUU589844 UEQ589843:UEQ589844 UOM589843:UOM589844 UYI589843:UYI589844 VIE589843:VIE589844 VSA589843:VSA589844 WBW589843:WBW589844 WLS589843:WLS589844 WVO589843:WVO589844 G655379:G655380 JC655379:JC655380 SY655379:SY655380 ACU655379:ACU655380 AMQ655379:AMQ655380 AWM655379:AWM655380 BGI655379:BGI655380 BQE655379:BQE655380 CAA655379:CAA655380 CJW655379:CJW655380 CTS655379:CTS655380 DDO655379:DDO655380 DNK655379:DNK655380 DXG655379:DXG655380 EHC655379:EHC655380 EQY655379:EQY655380 FAU655379:FAU655380 FKQ655379:FKQ655380 FUM655379:FUM655380 GEI655379:GEI655380 GOE655379:GOE655380 GYA655379:GYA655380 HHW655379:HHW655380 HRS655379:HRS655380 IBO655379:IBO655380 ILK655379:ILK655380 IVG655379:IVG655380 JFC655379:JFC655380 JOY655379:JOY655380 JYU655379:JYU655380 KIQ655379:KIQ655380 KSM655379:KSM655380 LCI655379:LCI655380 LME655379:LME655380 LWA655379:LWA655380 MFW655379:MFW655380 MPS655379:MPS655380 MZO655379:MZO655380 NJK655379:NJK655380 NTG655379:NTG655380 ODC655379:ODC655380 OMY655379:OMY655380 OWU655379:OWU655380 PGQ655379:PGQ655380 PQM655379:PQM655380 QAI655379:QAI655380 QKE655379:QKE655380 QUA655379:QUA655380 RDW655379:RDW655380 RNS655379:RNS655380 RXO655379:RXO655380 SHK655379:SHK655380 SRG655379:SRG655380 TBC655379:TBC655380 TKY655379:TKY655380 TUU655379:TUU655380 UEQ655379:UEQ655380 UOM655379:UOM655380 UYI655379:UYI655380 VIE655379:VIE655380 VSA655379:VSA655380 WBW655379:WBW655380 WLS655379:WLS655380 WVO655379:WVO655380 G720915:G720916 JC720915:JC720916 SY720915:SY720916 ACU720915:ACU720916 AMQ720915:AMQ720916 AWM720915:AWM720916 BGI720915:BGI720916 BQE720915:BQE720916 CAA720915:CAA720916 CJW720915:CJW720916 CTS720915:CTS720916 DDO720915:DDO720916 DNK720915:DNK720916 DXG720915:DXG720916 EHC720915:EHC720916 EQY720915:EQY720916 FAU720915:FAU720916 FKQ720915:FKQ720916 FUM720915:FUM720916 GEI720915:GEI720916 GOE720915:GOE720916 GYA720915:GYA720916 HHW720915:HHW720916 HRS720915:HRS720916 IBO720915:IBO720916 ILK720915:ILK720916 IVG720915:IVG720916 JFC720915:JFC720916 JOY720915:JOY720916 JYU720915:JYU720916 KIQ720915:KIQ720916 KSM720915:KSM720916 LCI720915:LCI720916 LME720915:LME720916 LWA720915:LWA720916 MFW720915:MFW720916 MPS720915:MPS720916 MZO720915:MZO720916 NJK720915:NJK720916 NTG720915:NTG720916 ODC720915:ODC720916 OMY720915:OMY720916 OWU720915:OWU720916 PGQ720915:PGQ720916 PQM720915:PQM720916 QAI720915:QAI720916 QKE720915:QKE720916 QUA720915:QUA720916 RDW720915:RDW720916 RNS720915:RNS720916 RXO720915:RXO720916 SHK720915:SHK720916 SRG720915:SRG720916 TBC720915:TBC720916 TKY720915:TKY720916 TUU720915:TUU720916 UEQ720915:UEQ720916 UOM720915:UOM720916 UYI720915:UYI720916 VIE720915:VIE720916 VSA720915:VSA720916 WBW720915:WBW720916 WLS720915:WLS720916 WVO720915:WVO720916 G786451:G786452 JC786451:JC786452 SY786451:SY786452 ACU786451:ACU786452 AMQ786451:AMQ786452 AWM786451:AWM786452 BGI786451:BGI786452 BQE786451:BQE786452 CAA786451:CAA786452 CJW786451:CJW786452 CTS786451:CTS786452 DDO786451:DDO786452 DNK786451:DNK786452 DXG786451:DXG786452 EHC786451:EHC786452 EQY786451:EQY786452 FAU786451:FAU786452 FKQ786451:FKQ786452 FUM786451:FUM786452 GEI786451:GEI786452 GOE786451:GOE786452 GYA786451:GYA786452 HHW786451:HHW786452 HRS786451:HRS786452 IBO786451:IBO786452 ILK786451:ILK786452 IVG786451:IVG786452 JFC786451:JFC786452 JOY786451:JOY786452 JYU786451:JYU786452 KIQ786451:KIQ786452 KSM786451:KSM786452 LCI786451:LCI786452 LME786451:LME786452 LWA786451:LWA786452 MFW786451:MFW786452 MPS786451:MPS786452 MZO786451:MZO786452 NJK786451:NJK786452 NTG786451:NTG786452 ODC786451:ODC786452 OMY786451:OMY786452 OWU786451:OWU786452 PGQ786451:PGQ786452 PQM786451:PQM786452 QAI786451:QAI786452 QKE786451:QKE786452 QUA786451:QUA786452 RDW786451:RDW786452 RNS786451:RNS786452 RXO786451:RXO786452 SHK786451:SHK786452 SRG786451:SRG786452 TBC786451:TBC786452 TKY786451:TKY786452 TUU786451:TUU786452 UEQ786451:UEQ786452 UOM786451:UOM786452 UYI786451:UYI786452 VIE786451:VIE786452 VSA786451:VSA786452 WBW786451:WBW786452 WLS786451:WLS786452 WVO786451:WVO786452 G851987:G851988 JC851987:JC851988 SY851987:SY851988 ACU851987:ACU851988 AMQ851987:AMQ851988 AWM851987:AWM851988 BGI851987:BGI851988 BQE851987:BQE851988 CAA851987:CAA851988 CJW851987:CJW851988 CTS851987:CTS851988 DDO851987:DDO851988 DNK851987:DNK851988 DXG851987:DXG851988 EHC851987:EHC851988 EQY851987:EQY851988 FAU851987:FAU851988 FKQ851987:FKQ851988 FUM851987:FUM851988 GEI851987:GEI851988 GOE851987:GOE851988 GYA851987:GYA851988 HHW851987:HHW851988 HRS851987:HRS851988 IBO851987:IBO851988 ILK851987:ILK851988 IVG851987:IVG851988 JFC851987:JFC851988 JOY851987:JOY851988 JYU851987:JYU851988 KIQ851987:KIQ851988 KSM851987:KSM851988 LCI851987:LCI851988 LME851987:LME851988 LWA851987:LWA851988 MFW851987:MFW851988 MPS851987:MPS851988 MZO851987:MZO851988 NJK851987:NJK851988 NTG851987:NTG851988 ODC851987:ODC851988 OMY851987:OMY851988 OWU851987:OWU851988 PGQ851987:PGQ851988 PQM851987:PQM851988 QAI851987:QAI851988 QKE851987:QKE851988 QUA851987:QUA851988 RDW851987:RDW851988 RNS851987:RNS851988 RXO851987:RXO851988 SHK851987:SHK851988 SRG851987:SRG851988 TBC851987:TBC851988 TKY851987:TKY851988 TUU851987:TUU851988 UEQ851987:UEQ851988 UOM851987:UOM851988 UYI851987:UYI851988 VIE851987:VIE851988 VSA851987:VSA851988 WBW851987:WBW851988 WLS851987:WLS851988 WVO851987:WVO851988 G917523:G917524 JC917523:JC917524 SY917523:SY917524 ACU917523:ACU917524 AMQ917523:AMQ917524 AWM917523:AWM917524 BGI917523:BGI917524 BQE917523:BQE917524 CAA917523:CAA917524 CJW917523:CJW917524 CTS917523:CTS917524 DDO917523:DDO917524 DNK917523:DNK917524 DXG917523:DXG917524 EHC917523:EHC917524 EQY917523:EQY917524 FAU917523:FAU917524 FKQ917523:FKQ917524 FUM917523:FUM917524 GEI917523:GEI917524 GOE917523:GOE917524 GYA917523:GYA917524 HHW917523:HHW917524 HRS917523:HRS917524 IBO917523:IBO917524 ILK917523:ILK917524 IVG917523:IVG917524 JFC917523:JFC917524 JOY917523:JOY917524 JYU917523:JYU917524 KIQ917523:KIQ917524 KSM917523:KSM917524 LCI917523:LCI917524 LME917523:LME917524 LWA917523:LWA917524 MFW917523:MFW917524 MPS917523:MPS917524 MZO917523:MZO917524 NJK917523:NJK917524 NTG917523:NTG917524 ODC917523:ODC917524 OMY917523:OMY917524 OWU917523:OWU917524 PGQ917523:PGQ917524 PQM917523:PQM917524 QAI917523:QAI917524 QKE917523:QKE917524 QUA917523:QUA917524 RDW917523:RDW917524 RNS917523:RNS917524 RXO917523:RXO917524 SHK917523:SHK917524 SRG917523:SRG917524 TBC917523:TBC917524 TKY917523:TKY917524 TUU917523:TUU917524 UEQ917523:UEQ917524 UOM917523:UOM917524 UYI917523:UYI917524 VIE917523:VIE917524 VSA917523:VSA917524 WBW917523:WBW917524 WLS917523:WLS917524 WVO917523:WVO917524 G983059:G983060 JC983059:JC983060 SY983059:SY983060 ACU983059:ACU983060 AMQ983059:AMQ983060 AWM983059:AWM983060 BGI983059:BGI983060 BQE983059:BQE983060 CAA983059:CAA983060 CJW983059:CJW983060 CTS983059:CTS983060 DDO983059:DDO983060 DNK983059:DNK983060 DXG983059:DXG983060 EHC983059:EHC983060 EQY983059:EQY983060 FAU983059:FAU983060 FKQ983059:FKQ983060 FUM983059:FUM983060 GEI983059:GEI983060 GOE983059:GOE983060 GYA983059:GYA983060 HHW983059:HHW983060 HRS983059:HRS983060 IBO983059:IBO983060 ILK983059:ILK983060 IVG983059:IVG983060 JFC983059:JFC983060 JOY983059:JOY983060 JYU983059:JYU983060 KIQ983059:KIQ983060 KSM983059:KSM983060 LCI983059:LCI983060 LME983059:LME983060 LWA983059:LWA983060 MFW983059:MFW983060 MPS983059:MPS983060 MZO983059:MZO983060 NJK983059:NJK983060 NTG983059:NTG983060 ODC983059:ODC983060 OMY983059:OMY983060 OWU983059:OWU983060 PGQ983059:PGQ983060 PQM983059:PQM983060 QAI983059:QAI983060 QKE983059:QKE983060 QUA983059:QUA983060 RDW983059:RDW983060 RNS983059:RNS983060 RXO983059:RXO983060 SHK983059:SHK983060 SRG983059:SRG983060 TBC983059:TBC983060 TKY983059:TKY983060 TUU983059:TUU983060 UEQ983059:UEQ983060 UOM983059:UOM983060 UYI983059:UYI983060 VIE983059:VIE983060 VSA983059:VSA983060 WBW983059:WBW983060 WLS983059:WLS983060 WVO983059:WVO983060 G31:G32 JC34 SY34 ACU34 AMQ34 AWM34 BGI34 BQE34 CAA34 CJW34 CTS34 DDO34 DNK34 DXG34 EHC34 EQY34 FAU34 FKQ34 FUM34 GEI34 GOE34 GYA34 HHW34 HRS34 IBO34 ILK34 IVG34 JFC34 JOY34 JYU34 KIQ34 KSM34 LCI34 LME34 LWA34 MFW34 MPS34 MZO34 NJK34 NTG34 ODC34 OMY34 OWU34 PGQ34 PQM34 QAI34 QKE34 QUA34 RDW34 RNS34 RXO34 SHK34 SRG34 TBC34 TKY34 TUU34 UEQ34 UOM34 UYI34 VIE34 VSA34 WBW34 WLS34 WVO34 G65559 JC65559 SY65559 ACU65559 AMQ65559 AWM65559 BGI65559 BQE65559 CAA65559 CJW65559 CTS65559 DDO65559 DNK65559 DXG65559 EHC65559 EQY65559 FAU65559 FKQ65559 FUM65559 GEI65559 GOE65559 GYA65559 HHW65559 HRS65559 IBO65559 ILK65559 IVG65559 JFC65559 JOY65559 JYU65559 KIQ65559 KSM65559 LCI65559 LME65559 LWA65559 MFW65559 MPS65559 MZO65559 NJK65559 NTG65559 ODC65559 OMY65559 OWU65559 PGQ65559 PQM65559 QAI65559 QKE65559 QUA65559 RDW65559 RNS65559 RXO65559 SHK65559 SRG65559 TBC65559 TKY65559 TUU65559 UEQ65559 UOM65559 UYI65559 VIE65559 VSA65559 WBW65559 WLS65559 WVO65559 G131095 JC131095 SY131095 ACU131095 AMQ131095 AWM131095 BGI131095 BQE131095 CAA131095 CJW131095 CTS131095 DDO131095 DNK131095 DXG131095 EHC131095 EQY131095 FAU131095 FKQ131095 FUM131095 GEI131095 GOE131095 GYA131095 HHW131095 HRS131095 IBO131095 ILK131095 IVG131095 JFC131095 JOY131095 JYU131095 KIQ131095 KSM131095 LCI131095 LME131095 LWA131095 MFW131095 MPS131095 MZO131095 NJK131095 NTG131095 ODC131095 OMY131095 OWU131095 PGQ131095 PQM131095 QAI131095 QKE131095 QUA131095 RDW131095 RNS131095 RXO131095 SHK131095 SRG131095 TBC131095 TKY131095 TUU131095 UEQ131095 UOM131095 UYI131095 VIE131095 VSA131095 WBW131095 WLS131095 WVO131095 G196631 JC196631 SY196631 ACU196631 AMQ196631 AWM196631 BGI196631 BQE196631 CAA196631 CJW196631 CTS196631 DDO196631 DNK196631 DXG196631 EHC196631 EQY196631 FAU196631 FKQ196631 FUM196631 GEI196631 GOE196631 GYA196631 HHW196631 HRS196631 IBO196631 ILK196631 IVG196631 JFC196631 JOY196631 JYU196631 KIQ196631 KSM196631 LCI196631 LME196631 LWA196631 MFW196631 MPS196631 MZO196631 NJK196631 NTG196631 ODC196631 OMY196631 OWU196631 PGQ196631 PQM196631 QAI196631 QKE196631 QUA196631 RDW196631 RNS196631 RXO196631 SHK196631 SRG196631 TBC196631 TKY196631 TUU196631 UEQ196631 UOM196631 UYI196631 VIE196631 VSA196631 WBW196631 WLS196631 WVO196631 G262167 JC262167 SY262167 ACU262167 AMQ262167 AWM262167 BGI262167 BQE262167 CAA262167 CJW262167 CTS262167 DDO262167 DNK262167 DXG262167 EHC262167 EQY262167 FAU262167 FKQ262167 FUM262167 GEI262167 GOE262167 GYA262167 HHW262167 HRS262167 IBO262167 ILK262167 IVG262167 JFC262167 JOY262167 JYU262167 KIQ262167 KSM262167 LCI262167 LME262167 LWA262167 MFW262167 MPS262167 MZO262167 NJK262167 NTG262167 ODC262167 OMY262167 OWU262167 PGQ262167 PQM262167 QAI262167 QKE262167 QUA262167 RDW262167 RNS262167 RXO262167 SHK262167 SRG262167 TBC262167 TKY262167 TUU262167 UEQ262167 UOM262167 UYI262167 VIE262167 VSA262167 WBW262167 WLS262167 WVO262167 G327703 JC327703 SY327703 ACU327703 AMQ327703 AWM327703 BGI327703 BQE327703 CAA327703 CJW327703 CTS327703 DDO327703 DNK327703 DXG327703 EHC327703 EQY327703 FAU327703 FKQ327703 FUM327703 GEI327703 GOE327703 GYA327703 HHW327703 HRS327703 IBO327703 ILK327703 IVG327703 JFC327703 JOY327703 JYU327703 KIQ327703 KSM327703 LCI327703 LME327703 LWA327703 MFW327703 MPS327703 MZO327703 NJK327703 NTG327703 ODC327703 OMY327703 OWU327703 PGQ327703 PQM327703 QAI327703 QKE327703 QUA327703 RDW327703 RNS327703 RXO327703 SHK327703 SRG327703 TBC327703 TKY327703 TUU327703 UEQ327703 UOM327703 UYI327703 VIE327703 VSA327703 WBW327703 WLS327703 WVO327703 G393239 JC393239 SY393239 ACU393239 AMQ393239 AWM393239 BGI393239 BQE393239 CAA393239 CJW393239 CTS393239 DDO393239 DNK393239 DXG393239 EHC393239 EQY393239 FAU393239 FKQ393239 FUM393239 GEI393239 GOE393239 GYA393239 HHW393239 HRS393239 IBO393239 ILK393239 IVG393239 JFC393239 JOY393239 JYU393239 KIQ393239 KSM393239 LCI393239 LME393239 LWA393239 MFW393239 MPS393239 MZO393239 NJK393239 NTG393239 ODC393239 OMY393239 OWU393239 PGQ393239 PQM393239 QAI393239 QKE393239 QUA393239 RDW393239 RNS393239 RXO393239 SHK393239 SRG393239 TBC393239 TKY393239 TUU393239 UEQ393239 UOM393239 UYI393239 VIE393239 VSA393239 WBW393239 WLS393239 WVO393239 G458775 JC458775 SY458775 ACU458775 AMQ458775 AWM458775 BGI458775 BQE458775 CAA458775 CJW458775 CTS458775 DDO458775 DNK458775 DXG458775 EHC458775 EQY458775 FAU458775 FKQ458775 FUM458775 GEI458775 GOE458775 GYA458775 HHW458775 HRS458775 IBO458775 ILK458775 IVG458775 JFC458775 JOY458775 JYU458775 KIQ458775 KSM458775 LCI458775 LME458775 LWA458775 MFW458775 MPS458775 MZO458775 NJK458775 NTG458775 ODC458775 OMY458775 OWU458775 PGQ458775 PQM458775 QAI458775 QKE458775 QUA458775 RDW458775 RNS458775 RXO458775 SHK458775 SRG458775 TBC458775 TKY458775 TUU458775 UEQ458775 UOM458775 UYI458775 VIE458775 VSA458775 WBW458775 WLS458775 WVO458775 G524311 JC524311 SY524311 ACU524311 AMQ524311 AWM524311 BGI524311 BQE524311 CAA524311 CJW524311 CTS524311 DDO524311 DNK524311 DXG524311 EHC524311 EQY524311 FAU524311 FKQ524311 FUM524311 GEI524311 GOE524311 GYA524311 HHW524311 HRS524311 IBO524311 ILK524311 IVG524311 JFC524311 JOY524311 JYU524311 KIQ524311 KSM524311 LCI524311 LME524311 LWA524311 MFW524311 MPS524311 MZO524311 NJK524311 NTG524311 ODC524311 OMY524311 OWU524311 PGQ524311 PQM524311 QAI524311 QKE524311 QUA524311 RDW524311 RNS524311 RXO524311 SHK524311 SRG524311 TBC524311 TKY524311 TUU524311 UEQ524311 UOM524311 UYI524311 VIE524311 VSA524311 WBW524311 WLS524311 WVO524311 G589847 JC589847 SY589847 ACU589847 AMQ589847 AWM589847 BGI589847 BQE589847 CAA589847 CJW589847 CTS589847 DDO589847 DNK589847 DXG589847 EHC589847 EQY589847 FAU589847 FKQ589847 FUM589847 GEI589847 GOE589847 GYA589847 HHW589847 HRS589847 IBO589847 ILK589847 IVG589847 JFC589847 JOY589847 JYU589847 KIQ589847 KSM589847 LCI589847 LME589847 LWA589847 MFW589847 MPS589847 MZO589847 NJK589847 NTG589847 ODC589847 OMY589847 OWU589847 PGQ589847 PQM589847 QAI589847 QKE589847 QUA589847 RDW589847 RNS589847 RXO589847 SHK589847 SRG589847 TBC589847 TKY589847 TUU589847 UEQ589847 UOM589847 UYI589847 VIE589847 VSA589847 WBW589847 WLS589847 WVO589847 G655383 JC655383 SY655383 ACU655383 AMQ655383 AWM655383 BGI655383 BQE655383 CAA655383 CJW655383 CTS655383 DDO655383 DNK655383 DXG655383 EHC655383 EQY655383 FAU655383 FKQ655383 FUM655383 GEI655383 GOE655383 GYA655383 HHW655383 HRS655383 IBO655383 ILK655383 IVG655383 JFC655383 JOY655383 JYU655383 KIQ655383 KSM655383 LCI655383 LME655383 LWA655383 MFW655383 MPS655383 MZO655383 NJK655383 NTG655383 ODC655383 OMY655383 OWU655383 PGQ655383 PQM655383 QAI655383 QKE655383 QUA655383 RDW655383 RNS655383 RXO655383 SHK655383 SRG655383 TBC655383 TKY655383 TUU655383 UEQ655383 UOM655383 UYI655383 VIE655383 VSA655383 WBW655383 WLS655383 WVO655383 G720919 JC720919 SY720919 ACU720919 AMQ720919 AWM720919 BGI720919 BQE720919 CAA720919 CJW720919 CTS720919 DDO720919 DNK720919 DXG720919 EHC720919 EQY720919 FAU720919 FKQ720919 FUM720919 GEI720919 GOE720919 GYA720919 HHW720919 HRS720919 IBO720919 ILK720919 IVG720919 JFC720919 JOY720919 JYU720919 KIQ720919 KSM720919 LCI720919 LME720919 LWA720919 MFW720919 MPS720919 MZO720919 NJK720919 NTG720919 ODC720919 OMY720919 OWU720919 PGQ720919 PQM720919 QAI720919 QKE720919 QUA720919 RDW720919 RNS720919 RXO720919 SHK720919 SRG720919 TBC720919 TKY720919 TUU720919 UEQ720919 UOM720919 UYI720919 VIE720919 VSA720919 WBW720919 WLS720919 WVO720919 G786455 JC786455 SY786455 ACU786455 AMQ786455 AWM786455 BGI786455 BQE786455 CAA786455 CJW786455 CTS786455 DDO786455 DNK786455 DXG786455 EHC786455 EQY786455 FAU786455 FKQ786455 FUM786455 GEI786455 GOE786455 GYA786455 HHW786455 HRS786455 IBO786455 ILK786455 IVG786455 JFC786455 JOY786455 JYU786455 KIQ786455 KSM786455 LCI786455 LME786455 LWA786455 MFW786455 MPS786455 MZO786455 NJK786455 NTG786455 ODC786455 OMY786455 OWU786455 PGQ786455 PQM786455 QAI786455 QKE786455 QUA786455 RDW786455 RNS786455 RXO786455 SHK786455 SRG786455 TBC786455 TKY786455 TUU786455 UEQ786455 UOM786455 UYI786455 VIE786455 VSA786455 WBW786455 WLS786455 WVO786455 G851991 JC851991 SY851991 ACU851991 AMQ851991 AWM851991 BGI851991 BQE851991 CAA851991 CJW851991 CTS851991 DDO851991 DNK851991 DXG851991 EHC851991 EQY851991 FAU851991 FKQ851991 FUM851991 GEI851991 GOE851991 GYA851991 HHW851991 HRS851991 IBO851991 ILK851991 IVG851991 JFC851991 JOY851991 JYU851991 KIQ851991 KSM851991 LCI851991 LME851991 LWA851991 MFW851991 MPS851991 MZO851991 NJK851991 NTG851991 ODC851991 OMY851991 OWU851991 PGQ851991 PQM851991 QAI851991 QKE851991 QUA851991 RDW851991 RNS851991 RXO851991 SHK851991 SRG851991 TBC851991 TKY851991 TUU851991 UEQ851991 UOM851991 UYI851991 VIE851991 VSA851991 WBW851991 WLS851991 WVO851991 G917527 JC917527 SY917527 ACU917527 AMQ917527 AWM917527 BGI917527 BQE917527 CAA917527 CJW917527 CTS917527 DDO917527 DNK917527 DXG917527 EHC917527 EQY917527 FAU917527 FKQ917527 FUM917527 GEI917527 GOE917527 GYA917527 HHW917527 HRS917527 IBO917527 ILK917527 IVG917527 JFC917527 JOY917527 JYU917527 KIQ917527 KSM917527 LCI917527 LME917527 LWA917527 MFW917527 MPS917527 MZO917527 NJK917527 NTG917527 ODC917527 OMY917527 OWU917527 PGQ917527 PQM917527 QAI917527 QKE917527 QUA917527 RDW917527 RNS917527 RXO917527 SHK917527 SRG917527 TBC917527 TKY917527 TUU917527 UEQ917527 UOM917527 UYI917527 VIE917527 VSA917527 WBW917527 WLS917527 WVO917527 G983063 JC983063 SY983063 ACU983063 AMQ983063 AWM983063 BGI983063 BQE983063 CAA983063 CJW983063 CTS983063 DDO983063 DNK983063 DXG983063 EHC983063 EQY983063 FAU983063 FKQ983063 FUM983063 GEI983063 GOE983063 GYA983063 HHW983063 HRS983063 IBO983063 ILK983063 IVG983063 JFC983063 JOY983063 JYU983063 KIQ983063 KSM983063 LCI983063 LME983063 LWA983063 MFW983063 MPS983063 MZO983063 NJK983063 NTG983063 ODC983063 OMY983063 OWU983063 PGQ983063 PQM983063 QAI983063 QKE983063 QUA983063 RDW983063 RNS983063 RXO983063 SHK983063 SRG983063 TBC983063 TKY983063 TUU983063 UEQ983063 UOM983063 UYI983063 VIE983063 VSA983063 WBW983063 WLS983063 WVO983063 WLS983048 JC37:JC40 SY37:SY40 ACU37:ACU40 AMQ37:AMQ40 AWM37:AWM40 BGI37:BGI40 BQE37:BQE40 CAA37:CAA40 CJW37:CJW40 CTS37:CTS40 DDO37:DDO40 DNK37:DNK40 DXG37:DXG40 EHC37:EHC40 EQY37:EQY40 FAU37:FAU40 FKQ37:FKQ40 FUM37:FUM40 GEI37:GEI40 GOE37:GOE40 GYA37:GYA40 HHW37:HHW40 HRS37:HRS40 IBO37:IBO40 ILK37:ILK40 IVG37:IVG40 JFC37:JFC40 JOY37:JOY40 JYU37:JYU40 KIQ37:KIQ40 KSM37:KSM40 LCI37:LCI40 LME37:LME40 LWA37:LWA40 MFW37:MFW40 MPS37:MPS40 MZO37:MZO40 NJK37:NJK40 NTG37:NTG40 ODC37:ODC40 OMY37:OMY40 OWU37:OWU40 PGQ37:PGQ40 PQM37:PQM40 QAI37:QAI40 QKE37:QKE40 QUA37:QUA40 RDW37:RDW40 RNS37:RNS40 RXO37:RXO40 SHK37:SHK40 SRG37:SRG40 TBC37:TBC40 TKY37:TKY40 TUU37:TUU40 UEQ37:UEQ40 UOM37:UOM40 UYI37:UYI40 VIE37:VIE40 VSA37:VSA40 WBW37:WBW40 WLS37:WLS40 WVO37:WVO40 G65562:G65563 JC65562:JC65563 SY65562:SY65563 ACU65562:ACU65563 AMQ65562:AMQ65563 AWM65562:AWM65563 BGI65562:BGI65563 BQE65562:BQE65563 CAA65562:CAA65563 CJW65562:CJW65563 CTS65562:CTS65563 DDO65562:DDO65563 DNK65562:DNK65563 DXG65562:DXG65563 EHC65562:EHC65563 EQY65562:EQY65563 FAU65562:FAU65563 FKQ65562:FKQ65563 FUM65562:FUM65563 GEI65562:GEI65563 GOE65562:GOE65563 GYA65562:GYA65563 HHW65562:HHW65563 HRS65562:HRS65563 IBO65562:IBO65563 ILK65562:ILK65563 IVG65562:IVG65563 JFC65562:JFC65563 JOY65562:JOY65563 JYU65562:JYU65563 KIQ65562:KIQ65563 KSM65562:KSM65563 LCI65562:LCI65563 LME65562:LME65563 LWA65562:LWA65563 MFW65562:MFW65563 MPS65562:MPS65563 MZO65562:MZO65563 NJK65562:NJK65563 NTG65562:NTG65563 ODC65562:ODC65563 OMY65562:OMY65563 OWU65562:OWU65563 PGQ65562:PGQ65563 PQM65562:PQM65563 QAI65562:QAI65563 QKE65562:QKE65563 QUA65562:QUA65563 RDW65562:RDW65563 RNS65562:RNS65563 RXO65562:RXO65563 SHK65562:SHK65563 SRG65562:SRG65563 TBC65562:TBC65563 TKY65562:TKY65563 TUU65562:TUU65563 UEQ65562:UEQ65563 UOM65562:UOM65563 UYI65562:UYI65563 VIE65562:VIE65563 VSA65562:VSA65563 WBW65562:WBW65563 WLS65562:WLS65563 WVO65562:WVO65563 G131098:G131099 JC131098:JC131099 SY131098:SY131099 ACU131098:ACU131099 AMQ131098:AMQ131099 AWM131098:AWM131099 BGI131098:BGI131099 BQE131098:BQE131099 CAA131098:CAA131099 CJW131098:CJW131099 CTS131098:CTS131099 DDO131098:DDO131099 DNK131098:DNK131099 DXG131098:DXG131099 EHC131098:EHC131099 EQY131098:EQY131099 FAU131098:FAU131099 FKQ131098:FKQ131099 FUM131098:FUM131099 GEI131098:GEI131099 GOE131098:GOE131099 GYA131098:GYA131099 HHW131098:HHW131099 HRS131098:HRS131099 IBO131098:IBO131099 ILK131098:ILK131099 IVG131098:IVG131099 JFC131098:JFC131099 JOY131098:JOY131099 JYU131098:JYU131099 KIQ131098:KIQ131099 KSM131098:KSM131099 LCI131098:LCI131099 LME131098:LME131099 LWA131098:LWA131099 MFW131098:MFW131099 MPS131098:MPS131099 MZO131098:MZO131099 NJK131098:NJK131099 NTG131098:NTG131099 ODC131098:ODC131099 OMY131098:OMY131099 OWU131098:OWU131099 PGQ131098:PGQ131099 PQM131098:PQM131099 QAI131098:QAI131099 QKE131098:QKE131099 QUA131098:QUA131099 RDW131098:RDW131099 RNS131098:RNS131099 RXO131098:RXO131099 SHK131098:SHK131099 SRG131098:SRG131099 TBC131098:TBC131099 TKY131098:TKY131099 TUU131098:TUU131099 UEQ131098:UEQ131099 UOM131098:UOM131099 UYI131098:UYI131099 VIE131098:VIE131099 VSA131098:VSA131099 WBW131098:WBW131099 WLS131098:WLS131099 WVO131098:WVO131099 G196634:G196635 JC196634:JC196635 SY196634:SY196635 ACU196634:ACU196635 AMQ196634:AMQ196635 AWM196634:AWM196635 BGI196634:BGI196635 BQE196634:BQE196635 CAA196634:CAA196635 CJW196634:CJW196635 CTS196634:CTS196635 DDO196634:DDO196635 DNK196634:DNK196635 DXG196634:DXG196635 EHC196634:EHC196635 EQY196634:EQY196635 FAU196634:FAU196635 FKQ196634:FKQ196635 FUM196634:FUM196635 GEI196634:GEI196635 GOE196634:GOE196635 GYA196634:GYA196635 HHW196634:HHW196635 HRS196634:HRS196635 IBO196634:IBO196635 ILK196634:ILK196635 IVG196634:IVG196635 JFC196634:JFC196635 JOY196634:JOY196635 JYU196634:JYU196635 KIQ196634:KIQ196635 KSM196634:KSM196635 LCI196634:LCI196635 LME196634:LME196635 LWA196634:LWA196635 MFW196634:MFW196635 MPS196634:MPS196635 MZO196634:MZO196635 NJK196634:NJK196635 NTG196634:NTG196635 ODC196634:ODC196635 OMY196634:OMY196635 OWU196634:OWU196635 PGQ196634:PGQ196635 PQM196634:PQM196635 QAI196634:QAI196635 QKE196634:QKE196635 QUA196634:QUA196635 RDW196634:RDW196635 RNS196634:RNS196635 RXO196634:RXO196635 SHK196634:SHK196635 SRG196634:SRG196635 TBC196634:TBC196635 TKY196634:TKY196635 TUU196634:TUU196635 UEQ196634:UEQ196635 UOM196634:UOM196635 UYI196634:UYI196635 VIE196634:VIE196635 VSA196634:VSA196635 WBW196634:WBW196635 WLS196634:WLS196635 WVO196634:WVO196635 G262170:G262171 JC262170:JC262171 SY262170:SY262171 ACU262170:ACU262171 AMQ262170:AMQ262171 AWM262170:AWM262171 BGI262170:BGI262171 BQE262170:BQE262171 CAA262170:CAA262171 CJW262170:CJW262171 CTS262170:CTS262171 DDO262170:DDO262171 DNK262170:DNK262171 DXG262170:DXG262171 EHC262170:EHC262171 EQY262170:EQY262171 FAU262170:FAU262171 FKQ262170:FKQ262171 FUM262170:FUM262171 GEI262170:GEI262171 GOE262170:GOE262171 GYA262170:GYA262171 HHW262170:HHW262171 HRS262170:HRS262171 IBO262170:IBO262171 ILK262170:ILK262171 IVG262170:IVG262171 JFC262170:JFC262171 JOY262170:JOY262171 JYU262170:JYU262171 KIQ262170:KIQ262171 KSM262170:KSM262171 LCI262170:LCI262171 LME262170:LME262171 LWA262170:LWA262171 MFW262170:MFW262171 MPS262170:MPS262171 MZO262170:MZO262171 NJK262170:NJK262171 NTG262170:NTG262171 ODC262170:ODC262171 OMY262170:OMY262171 OWU262170:OWU262171 PGQ262170:PGQ262171 PQM262170:PQM262171 QAI262170:QAI262171 QKE262170:QKE262171 QUA262170:QUA262171 RDW262170:RDW262171 RNS262170:RNS262171 RXO262170:RXO262171 SHK262170:SHK262171 SRG262170:SRG262171 TBC262170:TBC262171 TKY262170:TKY262171 TUU262170:TUU262171 UEQ262170:UEQ262171 UOM262170:UOM262171 UYI262170:UYI262171 VIE262170:VIE262171 VSA262170:VSA262171 WBW262170:WBW262171 WLS262170:WLS262171 WVO262170:WVO262171 G327706:G327707 JC327706:JC327707 SY327706:SY327707 ACU327706:ACU327707 AMQ327706:AMQ327707 AWM327706:AWM327707 BGI327706:BGI327707 BQE327706:BQE327707 CAA327706:CAA327707 CJW327706:CJW327707 CTS327706:CTS327707 DDO327706:DDO327707 DNK327706:DNK327707 DXG327706:DXG327707 EHC327706:EHC327707 EQY327706:EQY327707 FAU327706:FAU327707 FKQ327706:FKQ327707 FUM327706:FUM327707 GEI327706:GEI327707 GOE327706:GOE327707 GYA327706:GYA327707 HHW327706:HHW327707 HRS327706:HRS327707 IBO327706:IBO327707 ILK327706:ILK327707 IVG327706:IVG327707 JFC327706:JFC327707 JOY327706:JOY327707 JYU327706:JYU327707 KIQ327706:KIQ327707 KSM327706:KSM327707 LCI327706:LCI327707 LME327706:LME327707 LWA327706:LWA327707 MFW327706:MFW327707 MPS327706:MPS327707 MZO327706:MZO327707 NJK327706:NJK327707 NTG327706:NTG327707 ODC327706:ODC327707 OMY327706:OMY327707 OWU327706:OWU327707 PGQ327706:PGQ327707 PQM327706:PQM327707 QAI327706:QAI327707 QKE327706:QKE327707 QUA327706:QUA327707 RDW327706:RDW327707 RNS327706:RNS327707 RXO327706:RXO327707 SHK327706:SHK327707 SRG327706:SRG327707 TBC327706:TBC327707 TKY327706:TKY327707 TUU327706:TUU327707 UEQ327706:UEQ327707 UOM327706:UOM327707 UYI327706:UYI327707 VIE327706:VIE327707 VSA327706:VSA327707 WBW327706:WBW327707 WLS327706:WLS327707 WVO327706:WVO327707 G393242:G393243 JC393242:JC393243 SY393242:SY393243 ACU393242:ACU393243 AMQ393242:AMQ393243 AWM393242:AWM393243 BGI393242:BGI393243 BQE393242:BQE393243 CAA393242:CAA393243 CJW393242:CJW393243 CTS393242:CTS393243 DDO393242:DDO393243 DNK393242:DNK393243 DXG393242:DXG393243 EHC393242:EHC393243 EQY393242:EQY393243 FAU393242:FAU393243 FKQ393242:FKQ393243 FUM393242:FUM393243 GEI393242:GEI393243 GOE393242:GOE393243 GYA393242:GYA393243 HHW393242:HHW393243 HRS393242:HRS393243 IBO393242:IBO393243 ILK393242:ILK393243 IVG393242:IVG393243 JFC393242:JFC393243 JOY393242:JOY393243 JYU393242:JYU393243 KIQ393242:KIQ393243 KSM393242:KSM393243 LCI393242:LCI393243 LME393242:LME393243 LWA393242:LWA393243 MFW393242:MFW393243 MPS393242:MPS393243 MZO393242:MZO393243 NJK393242:NJK393243 NTG393242:NTG393243 ODC393242:ODC393243 OMY393242:OMY393243 OWU393242:OWU393243 PGQ393242:PGQ393243 PQM393242:PQM393243 QAI393242:QAI393243 QKE393242:QKE393243 QUA393242:QUA393243 RDW393242:RDW393243 RNS393242:RNS393243 RXO393242:RXO393243 SHK393242:SHK393243 SRG393242:SRG393243 TBC393242:TBC393243 TKY393242:TKY393243 TUU393242:TUU393243 UEQ393242:UEQ393243 UOM393242:UOM393243 UYI393242:UYI393243 VIE393242:VIE393243 VSA393242:VSA393243 WBW393242:WBW393243 WLS393242:WLS393243 WVO393242:WVO393243 G458778:G458779 JC458778:JC458779 SY458778:SY458779 ACU458778:ACU458779 AMQ458778:AMQ458779 AWM458778:AWM458779 BGI458778:BGI458779 BQE458778:BQE458779 CAA458778:CAA458779 CJW458778:CJW458779 CTS458778:CTS458779 DDO458778:DDO458779 DNK458778:DNK458779 DXG458778:DXG458779 EHC458778:EHC458779 EQY458778:EQY458779 FAU458778:FAU458779 FKQ458778:FKQ458779 FUM458778:FUM458779 GEI458778:GEI458779 GOE458778:GOE458779 GYA458778:GYA458779 HHW458778:HHW458779 HRS458778:HRS458779 IBO458778:IBO458779 ILK458778:ILK458779 IVG458778:IVG458779 JFC458778:JFC458779 JOY458778:JOY458779 JYU458778:JYU458779 KIQ458778:KIQ458779 KSM458778:KSM458779 LCI458778:LCI458779 LME458778:LME458779 LWA458778:LWA458779 MFW458778:MFW458779 MPS458778:MPS458779 MZO458778:MZO458779 NJK458778:NJK458779 NTG458778:NTG458779 ODC458778:ODC458779 OMY458778:OMY458779 OWU458778:OWU458779 PGQ458778:PGQ458779 PQM458778:PQM458779 QAI458778:QAI458779 QKE458778:QKE458779 QUA458778:QUA458779 RDW458778:RDW458779 RNS458778:RNS458779 RXO458778:RXO458779 SHK458778:SHK458779 SRG458778:SRG458779 TBC458778:TBC458779 TKY458778:TKY458779 TUU458778:TUU458779 UEQ458778:UEQ458779 UOM458778:UOM458779 UYI458778:UYI458779 VIE458778:VIE458779 VSA458778:VSA458779 WBW458778:WBW458779 WLS458778:WLS458779 WVO458778:WVO458779 G524314:G524315 JC524314:JC524315 SY524314:SY524315 ACU524314:ACU524315 AMQ524314:AMQ524315 AWM524314:AWM524315 BGI524314:BGI524315 BQE524314:BQE524315 CAA524314:CAA524315 CJW524314:CJW524315 CTS524314:CTS524315 DDO524314:DDO524315 DNK524314:DNK524315 DXG524314:DXG524315 EHC524314:EHC524315 EQY524314:EQY524315 FAU524314:FAU524315 FKQ524314:FKQ524315 FUM524314:FUM524315 GEI524314:GEI524315 GOE524314:GOE524315 GYA524314:GYA524315 HHW524314:HHW524315 HRS524314:HRS524315 IBO524314:IBO524315 ILK524314:ILK524315 IVG524314:IVG524315 JFC524314:JFC524315 JOY524314:JOY524315 JYU524314:JYU524315 KIQ524314:KIQ524315 KSM524314:KSM524315 LCI524314:LCI524315 LME524314:LME524315 LWA524314:LWA524315 MFW524314:MFW524315 MPS524314:MPS524315 MZO524314:MZO524315 NJK524314:NJK524315 NTG524314:NTG524315 ODC524314:ODC524315 OMY524314:OMY524315 OWU524314:OWU524315 PGQ524314:PGQ524315 PQM524314:PQM524315 QAI524314:QAI524315 QKE524314:QKE524315 QUA524314:QUA524315 RDW524314:RDW524315 RNS524314:RNS524315 RXO524314:RXO524315 SHK524314:SHK524315 SRG524314:SRG524315 TBC524314:TBC524315 TKY524314:TKY524315 TUU524314:TUU524315 UEQ524314:UEQ524315 UOM524314:UOM524315 UYI524314:UYI524315 VIE524314:VIE524315 VSA524314:VSA524315 WBW524314:WBW524315 WLS524314:WLS524315 WVO524314:WVO524315 G589850:G589851 JC589850:JC589851 SY589850:SY589851 ACU589850:ACU589851 AMQ589850:AMQ589851 AWM589850:AWM589851 BGI589850:BGI589851 BQE589850:BQE589851 CAA589850:CAA589851 CJW589850:CJW589851 CTS589850:CTS589851 DDO589850:DDO589851 DNK589850:DNK589851 DXG589850:DXG589851 EHC589850:EHC589851 EQY589850:EQY589851 FAU589850:FAU589851 FKQ589850:FKQ589851 FUM589850:FUM589851 GEI589850:GEI589851 GOE589850:GOE589851 GYA589850:GYA589851 HHW589850:HHW589851 HRS589850:HRS589851 IBO589850:IBO589851 ILK589850:ILK589851 IVG589850:IVG589851 JFC589850:JFC589851 JOY589850:JOY589851 JYU589850:JYU589851 KIQ589850:KIQ589851 KSM589850:KSM589851 LCI589850:LCI589851 LME589850:LME589851 LWA589850:LWA589851 MFW589850:MFW589851 MPS589850:MPS589851 MZO589850:MZO589851 NJK589850:NJK589851 NTG589850:NTG589851 ODC589850:ODC589851 OMY589850:OMY589851 OWU589850:OWU589851 PGQ589850:PGQ589851 PQM589850:PQM589851 QAI589850:QAI589851 QKE589850:QKE589851 QUA589850:QUA589851 RDW589850:RDW589851 RNS589850:RNS589851 RXO589850:RXO589851 SHK589850:SHK589851 SRG589850:SRG589851 TBC589850:TBC589851 TKY589850:TKY589851 TUU589850:TUU589851 UEQ589850:UEQ589851 UOM589850:UOM589851 UYI589850:UYI589851 VIE589850:VIE589851 VSA589850:VSA589851 WBW589850:WBW589851 WLS589850:WLS589851 WVO589850:WVO589851 G655386:G655387 JC655386:JC655387 SY655386:SY655387 ACU655386:ACU655387 AMQ655386:AMQ655387 AWM655386:AWM655387 BGI655386:BGI655387 BQE655386:BQE655387 CAA655386:CAA655387 CJW655386:CJW655387 CTS655386:CTS655387 DDO655386:DDO655387 DNK655386:DNK655387 DXG655386:DXG655387 EHC655386:EHC655387 EQY655386:EQY655387 FAU655386:FAU655387 FKQ655386:FKQ655387 FUM655386:FUM655387 GEI655386:GEI655387 GOE655386:GOE655387 GYA655386:GYA655387 HHW655386:HHW655387 HRS655386:HRS655387 IBO655386:IBO655387 ILK655386:ILK655387 IVG655386:IVG655387 JFC655386:JFC655387 JOY655386:JOY655387 JYU655386:JYU655387 KIQ655386:KIQ655387 KSM655386:KSM655387 LCI655386:LCI655387 LME655386:LME655387 LWA655386:LWA655387 MFW655386:MFW655387 MPS655386:MPS655387 MZO655386:MZO655387 NJK655386:NJK655387 NTG655386:NTG655387 ODC655386:ODC655387 OMY655386:OMY655387 OWU655386:OWU655387 PGQ655386:PGQ655387 PQM655386:PQM655387 QAI655386:QAI655387 QKE655386:QKE655387 QUA655386:QUA655387 RDW655386:RDW655387 RNS655386:RNS655387 RXO655386:RXO655387 SHK655386:SHK655387 SRG655386:SRG655387 TBC655386:TBC655387 TKY655386:TKY655387 TUU655386:TUU655387 UEQ655386:UEQ655387 UOM655386:UOM655387 UYI655386:UYI655387 VIE655386:VIE655387 VSA655386:VSA655387 WBW655386:WBW655387 WLS655386:WLS655387 WVO655386:WVO655387 G720922:G720923 JC720922:JC720923 SY720922:SY720923 ACU720922:ACU720923 AMQ720922:AMQ720923 AWM720922:AWM720923 BGI720922:BGI720923 BQE720922:BQE720923 CAA720922:CAA720923 CJW720922:CJW720923 CTS720922:CTS720923 DDO720922:DDO720923 DNK720922:DNK720923 DXG720922:DXG720923 EHC720922:EHC720923 EQY720922:EQY720923 FAU720922:FAU720923 FKQ720922:FKQ720923 FUM720922:FUM720923 GEI720922:GEI720923 GOE720922:GOE720923 GYA720922:GYA720923 HHW720922:HHW720923 HRS720922:HRS720923 IBO720922:IBO720923 ILK720922:ILK720923 IVG720922:IVG720923 JFC720922:JFC720923 JOY720922:JOY720923 JYU720922:JYU720923 KIQ720922:KIQ720923 KSM720922:KSM720923 LCI720922:LCI720923 LME720922:LME720923 LWA720922:LWA720923 MFW720922:MFW720923 MPS720922:MPS720923 MZO720922:MZO720923 NJK720922:NJK720923 NTG720922:NTG720923 ODC720922:ODC720923 OMY720922:OMY720923 OWU720922:OWU720923 PGQ720922:PGQ720923 PQM720922:PQM720923 QAI720922:QAI720923 QKE720922:QKE720923 QUA720922:QUA720923 RDW720922:RDW720923 RNS720922:RNS720923 RXO720922:RXO720923 SHK720922:SHK720923 SRG720922:SRG720923 TBC720922:TBC720923 TKY720922:TKY720923 TUU720922:TUU720923 UEQ720922:UEQ720923 UOM720922:UOM720923 UYI720922:UYI720923 VIE720922:VIE720923 VSA720922:VSA720923 WBW720922:WBW720923 WLS720922:WLS720923 WVO720922:WVO720923 G786458:G786459 JC786458:JC786459 SY786458:SY786459 ACU786458:ACU786459 AMQ786458:AMQ786459 AWM786458:AWM786459 BGI786458:BGI786459 BQE786458:BQE786459 CAA786458:CAA786459 CJW786458:CJW786459 CTS786458:CTS786459 DDO786458:DDO786459 DNK786458:DNK786459 DXG786458:DXG786459 EHC786458:EHC786459 EQY786458:EQY786459 FAU786458:FAU786459 FKQ786458:FKQ786459 FUM786458:FUM786459 GEI786458:GEI786459 GOE786458:GOE786459 GYA786458:GYA786459 HHW786458:HHW786459 HRS786458:HRS786459 IBO786458:IBO786459 ILK786458:ILK786459 IVG786458:IVG786459 JFC786458:JFC786459 JOY786458:JOY786459 JYU786458:JYU786459 KIQ786458:KIQ786459 KSM786458:KSM786459 LCI786458:LCI786459 LME786458:LME786459 LWA786458:LWA786459 MFW786458:MFW786459 MPS786458:MPS786459 MZO786458:MZO786459 NJK786458:NJK786459 NTG786458:NTG786459 ODC786458:ODC786459 OMY786458:OMY786459 OWU786458:OWU786459 PGQ786458:PGQ786459 PQM786458:PQM786459 QAI786458:QAI786459 QKE786458:QKE786459 QUA786458:QUA786459 RDW786458:RDW786459 RNS786458:RNS786459 RXO786458:RXO786459 SHK786458:SHK786459 SRG786458:SRG786459 TBC786458:TBC786459 TKY786458:TKY786459 TUU786458:TUU786459 UEQ786458:UEQ786459 UOM786458:UOM786459 UYI786458:UYI786459 VIE786458:VIE786459 VSA786458:VSA786459 WBW786458:WBW786459 WLS786458:WLS786459 WVO786458:WVO786459 G851994:G851995 JC851994:JC851995 SY851994:SY851995 ACU851994:ACU851995 AMQ851994:AMQ851995 AWM851994:AWM851995 BGI851994:BGI851995 BQE851994:BQE851995 CAA851994:CAA851995 CJW851994:CJW851995 CTS851994:CTS851995 DDO851994:DDO851995 DNK851994:DNK851995 DXG851994:DXG851995 EHC851994:EHC851995 EQY851994:EQY851995 FAU851994:FAU851995 FKQ851994:FKQ851995 FUM851994:FUM851995 GEI851994:GEI851995 GOE851994:GOE851995 GYA851994:GYA851995 HHW851994:HHW851995 HRS851994:HRS851995 IBO851994:IBO851995 ILK851994:ILK851995 IVG851994:IVG851995 JFC851994:JFC851995 JOY851994:JOY851995 JYU851994:JYU851995 KIQ851994:KIQ851995 KSM851994:KSM851995 LCI851994:LCI851995 LME851994:LME851995 LWA851994:LWA851995 MFW851994:MFW851995 MPS851994:MPS851995 MZO851994:MZO851995 NJK851994:NJK851995 NTG851994:NTG851995 ODC851994:ODC851995 OMY851994:OMY851995 OWU851994:OWU851995 PGQ851994:PGQ851995 PQM851994:PQM851995 QAI851994:QAI851995 QKE851994:QKE851995 QUA851994:QUA851995 RDW851994:RDW851995 RNS851994:RNS851995 RXO851994:RXO851995 SHK851994:SHK851995 SRG851994:SRG851995 TBC851994:TBC851995 TKY851994:TKY851995 TUU851994:TUU851995 UEQ851994:UEQ851995 UOM851994:UOM851995 UYI851994:UYI851995 VIE851994:VIE851995 VSA851994:VSA851995 WBW851994:WBW851995 WLS851994:WLS851995 WVO851994:WVO851995 G917530:G917531 JC917530:JC917531 SY917530:SY917531 ACU917530:ACU917531 AMQ917530:AMQ917531 AWM917530:AWM917531 BGI917530:BGI917531 BQE917530:BQE917531 CAA917530:CAA917531 CJW917530:CJW917531 CTS917530:CTS917531 DDO917530:DDO917531 DNK917530:DNK917531 DXG917530:DXG917531 EHC917530:EHC917531 EQY917530:EQY917531 FAU917530:FAU917531 FKQ917530:FKQ917531 FUM917530:FUM917531 GEI917530:GEI917531 GOE917530:GOE917531 GYA917530:GYA917531 HHW917530:HHW917531 HRS917530:HRS917531 IBO917530:IBO917531 ILK917530:ILK917531 IVG917530:IVG917531 JFC917530:JFC917531 JOY917530:JOY917531 JYU917530:JYU917531 KIQ917530:KIQ917531 KSM917530:KSM917531 LCI917530:LCI917531 LME917530:LME917531 LWA917530:LWA917531 MFW917530:MFW917531 MPS917530:MPS917531 MZO917530:MZO917531 NJK917530:NJK917531 NTG917530:NTG917531 ODC917530:ODC917531 OMY917530:OMY917531 OWU917530:OWU917531 PGQ917530:PGQ917531 PQM917530:PQM917531 QAI917530:QAI917531 QKE917530:QKE917531 QUA917530:QUA917531 RDW917530:RDW917531 RNS917530:RNS917531 RXO917530:RXO917531 SHK917530:SHK917531 SRG917530:SRG917531 TBC917530:TBC917531 TKY917530:TKY917531 TUU917530:TUU917531 UEQ917530:UEQ917531 UOM917530:UOM917531 UYI917530:UYI917531 VIE917530:VIE917531 VSA917530:VSA917531 WBW917530:WBW917531 WLS917530:WLS917531 WVO917530:WVO917531 G983066:G983067 JC983066:JC983067 SY983066:SY983067 ACU983066:ACU983067 AMQ983066:AMQ983067 AWM983066:AWM983067 BGI983066:BGI983067 BQE983066:BQE983067 CAA983066:CAA983067 CJW983066:CJW983067 CTS983066:CTS983067 DDO983066:DDO983067 DNK983066:DNK983067 DXG983066:DXG983067 EHC983066:EHC983067 EQY983066:EQY983067 FAU983066:FAU983067 FKQ983066:FKQ983067 FUM983066:FUM983067 GEI983066:GEI983067 GOE983066:GOE983067 GYA983066:GYA983067 HHW983066:HHW983067 HRS983066:HRS983067 IBO983066:IBO983067 ILK983066:ILK983067 IVG983066:IVG983067 JFC983066:JFC983067 JOY983066:JOY983067 JYU983066:JYU983067 KIQ983066:KIQ983067 KSM983066:KSM983067 LCI983066:LCI983067 LME983066:LME983067 LWA983066:LWA983067 MFW983066:MFW983067 MPS983066:MPS983067 MZO983066:MZO983067 NJK983066:NJK983067 NTG983066:NTG983067 ODC983066:ODC983067 OMY983066:OMY983067 OWU983066:OWU983067 PGQ983066:PGQ983067 PQM983066:PQM983067 QAI983066:QAI983067 QKE983066:QKE983067 QUA983066:QUA983067 RDW983066:RDW983067 RNS983066:RNS983067 RXO983066:RXO983067 SHK983066:SHK983067 SRG983066:SRG983067 TBC983066:TBC983067 TKY983066:TKY983067 TUU983066:TUU983067 UEQ983066:UEQ983067 UOM983066:UOM983067 UYI983066:UYI983067 VIE983066:VIE983067 VSA983066:VSA983067 WBW983066:WBW983067 WLS983066:WLS983067 WVO983066:WVO983067 G6 JC6 SY6 ACU6 AMQ6 AWM6 BGI6 BQE6 CAA6 CJW6 CTS6 DDO6 DNK6 DXG6 EHC6 EQY6 FAU6 FKQ6 FUM6 GEI6 GOE6 GYA6 HHW6 HRS6 IBO6 ILK6 IVG6 JFC6 JOY6 JYU6 KIQ6 KSM6 LCI6 LME6 LWA6 MFW6 MPS6 MZO6 NJK6 NTG6 ODC6 OMY6 OWU6 PGQ6 PQM6 QAI6 QKE6 QUA6 RDW6 RNS6 RXO6 SHK6 SRG6 TBC6 TKY6 TUU6 UEQ6 UOM6 UYI6 VIE6 VSA6 WBW6 WLS6 WVO6 G65521 JC65521 SY65521 ACU65521 AMQ65521 AWM65521 BGI65521 BQE65521 CAA65521 CJW65521 CTS65521 DDO65521 DNK65521 DXG65521 EHC65521 EQY65521 FAU65521 FKQ65521 FUM65521 GEI65521 GOE65521 GYA65521 HHW65521 HRS65521 IBO65521 ILK65521 IVG65521 JFC65521 JOY65521 JYU65521 KIQ65521 KSM65521 LCI65521 LME65521 LWA65521 MFW65521 MPS65521 MZO65521 NJK65521 NTG65521 ODC65521 OMY65521 OWU65521 PGQ65521 PQM65521 QAI65521 QKE65521 QUA65521 RDW65521 RNS65521 RXO65521 SHK65521 SRG65521 TBC65521 TKY65521 TUU65521 UEQ65521 UOM65521 UYI65521 VIE65521 VSA65521 WBW65521 WLS65521 WVO65521 G131057 JC131057 SY131057 ACU131057 AMQ131057 AWM131057 BGI131057 BQE131057 CAA131057 CJW131057 CTS131057 DDO131057 DNK131057 DXG131057 EHC131057 EQY131057 FAU131057 FKQ131057 FUM131057 GEI131057 GOE131057 GYA131057 HHW131057 HRS131057 IBO131057 ILK131057 IVG131057 JFC131057 JOY131057 JYU131057 KIQ131057 KSM131057 LCI131057 LME131057 LWA131057 MFW131057 MPS131057 MZO131057 NJK131057 NTG131057 ODC131057 OMY131057 OWU131057 PGQ131057 PQM131057 QAI131057 QKE131057 QUA131057 RDW131057 RNS131057 RXO131057 SHK131057 SRG131057 TBC131057 TKY131057 TUU131057 UEQ131057 UOM131057 UYI131057 VIE131057 VSA131057 WBW131057 WLS131057 WVO131057 G196593 JC196593 SY196593 ACU196593 AMQ196593 AWM196593 BGI196593 BQE196593 CAA196593 CJW196593 CTS196593 DDO196593 DNK196593 DXG196593 EHC196593 EQY196593 FAU196593 FKQ196593 FUM196593 GEI196593 GOE196593 GYA196593 HHW196593 HRS196593 IBO196593 ILK196593 IVG196593 JFC196593 JOY196593 JYU196593 KIQ196593 KSM196593 LCI196593 LME196593 LWA196593 MFW196593 MPS196593 MZO196593 NJK196593 NTG196593 ODC196593 OMY196593 OWU196593 PGQ196593 PQM196593 QAI196593 QKE196593 QUA196593 RDW196593 RNS196593 RXO196593 SHK196593 SRG196593 TBC196593 TKY196593 TUU196593 UEQ196593 UOM196593 UYI196593 VIE196593 VSA196593 WBW196593 WLS196593 WVO196593 G262129 JC262129 SY262129 ACU262129 AMQ262129 AWM262129 BGI262129 BQE262129 CAA262129 CJW262129 CTS262129 DDO262129 DNK262129 DXG262129 EHC262129 EQY262129 FAU262129 FKQ262129 FUM262129 GEI262129 GOE262129 GYA262129 HHW262129 HRS262129 IBO262129 ILK262129 IVG262129 JFC262129 JOY262129 JYU262129 KIQ262129 KSM262129 LCI262129 LME262129 LWA262129 MFW262129 MPS262129 MZO262129 NJK262129 NTG262129 ODC262129 OMY262129 OWU262129 PGQ262129 PQM262129 QAI262129 QKE262129 QUA262129 RDW262129 RNS262129 RXO262129 SHK262129 SRG262129 TBC262129 TKY262129 TUU262129 UEQ262129 UOM262129 UYI262129 VIE262129 VSA262129 WBW262129 WLS262129 WVO262129 G327665 JC327665 SY327665 ACU327665 AMQ327665 AWM327665 BGI327665 BQE327665 CAA327665 CJW327665 CTS327665 DDO327665 DNK327665 DXG327665 EHC327665 EQY327665 FAU327665 FKQ327665 FUM327665 GEI327665 GOE327665 GYA327665 HHW327665 HRS327665 IBO327665 ILK327665 IVG327665 JFC327665 JOY327665 JYU327665 KIQ327665 KSM327665 LCI327665 LME327665 LWA327665 MFW327665 MPS327665 MZO327665 NJK327665 NTG327665 ODC327665 OMY327665 OWU327665 PGQ327665 PQM327665 QAI327665 QKE327665 QUA327665 RDW327665 RNS327665 RXO327665 SHK327665 SRG327665 TBC327665 TKY327665 TUU327665 UEQ327665 UOM327665 UYI327665 VIE327665 VSA327665 WBW327665 WLS327665 WVO327665 G393201 JC393201 SY393201 ACU393201 AMQ393201 AWM393201 BGI393201 BQE393201 CAA393201 CJW393201 CTS393201 DDO393201 DNK393201 DXG393201 EHC393201 EQY393201 FAU393201 FKQ393201 FUM393201 GEI393201 GOE393201 GYA393201 HHW393201 HRS393201 IBO393201 ILK393201 IVG393201 JFC393201 JOY393201 JYU393201 KIQ393201 KSM393201 LCI393201 LME393201 LWA393201 MFW393201 MPS393201 MZO393201 NJK393201 NTG393201 ODC393201 OMY393201 OWU393201 PGQ393201 PQM393201 QAI393201 QKE393201 QUA393201 RDW393201 RNS393201 RXO393201 SHK393201 SRG393201 TBC393201 TKY393201 TUU393201 UEQ393201 UOM393201 UYI393201 VIE393201 VSA393201 WBW393201 WLS393201 WVO393201 G458737 JC458737 SY458737 ACU458737 AMQ458737 AWM458737 BGI458737 BQE458737 CAA458737 CJW458737 CTS458737 DDO458737 DNK458737 DXG458737 EHC458737 EQY458737 FAU458737 FKQ458737 FUM458737 GEI458737 GOE458737 GYA458737 HHW458737 HRS458737 IBO458737 ILK458737 IVG458737 JFC458737 JOY458737 JYU458737 KIQ458737 KSM458737 LCI458737 LME458737 LWA458737 MFW458737 MPS458737 MZO458737 NJK458737 NTG458737 ODC458737 OMY458737 OWU458737 PGQ458737 PQM458737 QAI458737 QKE458737 QUA458737 RDW458737 RNS458737 RXO458737 SHK458737 SRG458737 TBC458737 TKY458737 TUU458737 UEQ458737 UOM458737 UYI458737 VIE458737 VSA458737 WBW458737 WLS458737 WVO458737 G524273 JC524273 SY524273 ACU524273 AMQ524273 AWM524273 BGI524273 BQE524273 CAA524273 CJW524273 CTS524273 DDO524273 DNK524273 DXG524273 EHC524273 EQY524273 FAU524273 FKQ524273 FUM524273 GEI524273 GOE524273 GYA524273 HHW524273 HRS524273 IBO524273 ILK524273 IVG524273 JFC524273 JOY524273 JYU524273 KIQ524273 KSM524273 LCI524273 LME524273 LWA524273 MFW524273 MPS524273 MZO524273 NJK524273 NTG524273 ODC524273 OMY524273 OWU524273 PGQ524273 PQM524273 QAI524273 QKE524273 QUA524273 RDW524273 RNS524273 RXO524273 SHK524273 SRG524273 TBC524273 TKY524273 TUU524273 UEQ524273 UOM524273 UYI524273 VIE524273 VSA524273 WBW524273 WLS524273 WVO524273 G589809 JC589809 SY589809 ACU589809 AMQ589809 AWM589809 BGI589809 BQE589809 CAA589809 CJW589809 CTS589809 DDO589809 DNK589809 DXG589809 EHC589809 EQY589809 FAU589809 FKQ589809 FUM589809 GEI589809 GOE589809 GYA589809 HHW589809 HRS589809 IBO589809 ILK589809 IVG589809 JFC589809 JOY589809 JYU589809 KIQ589809 KSM589809 LCI589809 LME589809 LWA589809 MFW589809 MPS589809 MZO589809 NJK589809 NTG589809 ODC589809 OMY589809 OWU589809 PGQ589809 PQM589809 QAI589809 QKE589809 QUA589809 RDW589809 RNS589809 RXO589809 SHK589809 SRG589809 TBC589809 TKY589809 TUU589809 UEQ589809 UOM589809 UYI589809 VIE589809 VSA589809 WBW589809 WLS589809 WVO589809 G655345 JC655345 SY655345 ACU655345 AMQ655345 AWM655345 BGI655345 BQE655345 CAA655345 CJW655345 CTS655345 DDO655345 DNK655345 DXG655345 EHC655345 EQY655345 FAU655345 FKQ655345 FUM655345 GEI655345 GOE655345 GYA655345 HHW655345 HRS655345 IBO655345 ILK655345 IVG655345 JFC655345 JOY655345 JYU655345 KIQ655345 KSM655345 LCI655345 LME655345 LWA655345 MFW655345 MPS655345 MZO655345 NJK655345 NTG655345 ODC655345 OMY655345 OWU655345 PGQ655345 PQM655345 QAI655345 QKE655345 QUA655345 RDW655345 RNS655345 RXO655345 SHK655345 SRG655345 TBC655345 TKY655345 TUU655345 UEQ655345 UOM655345 UYI655345 VIE655345 VSA655345 WBW655345 WLS655345 WVO655345 G720881 JC720881 SY720881 ACU720881 AMQ720881 AWM720881 BGI720881 BQE720881 CAA720881 CJW720881 CTS720881 DDO720881 DNK720881 DXG720881 EHC720881 EQY720881 FAU720881 FKQ720881 FUM720881 GEI720881 GOE720881 GYA720881 HHW720881 HRS720881 IBO720881 ILK720881 IVG720881 JFC720881 JOY720881 JYU720881 KIQ720881 KSM720881 LCI720881 LME720881 LWA720881 MFW720881 MPS720881 MZO720881 NJK720881 NTG720881 ODC720881 OMY720881 OWU720881 PGQ720881 PQM720881 QAI720881 QKE720881 QUA720881 RDW720881 RNS720881 RXO720881 SHK720881 SRG720881 TBC720881 TKY720881 TUU720881 UEQ720881 UOM720881 UYI720881 VIE720881 VSA720881 WBW720881 WLS720881 WVO720881 G786417 JC786417 SY786417 ACU786417 AMQ786417 AWM786417 BGI786417 BQE786417 CAA786417 CJW786417 CTS786417 DDO786417 DNK786417 DXG786417 EHC786417 EQY786417 FAU786417 FKQ786417 FUM786417 GEI786417 GOE786417 GYA786417 HHW786417 HRS786417 IBO786417 ILK786417 IVG786417 JFC786417 JOY786417 JYU786417 KIQ786417 KSM786417 LCI786417 LME786417 LWA786417 MFW786417 MPS786417 MZO786417 NJK786417 NTG786417 ODC786417 OMY786417 OWU786417 PGQ786417 PQM786417 QAI786417 QKE786417 QUA786417 RDW786417 RNS786417 RXO786417 SHK786417 SRG786417 TBC786417 TKY786417 TUU786417 UEQ786417 UOM786417 UYI786417 VIE786417 VSA786417 WBW786417 WLS786417 WVO786417 G851953 JC851953 SY851953 ACU851953 AMQ851953 AWM851953 BGI851953 BQE851953 CAA851953 CJW851953 CTS851953 DDO851953 DNK851953 DXG851953 EHC851953 EQY851953 FAU851953 FKQ851953 FUM851953 GEI851953 GOE851953 GYA851953 HHW851953 HRS851953 IBO851953 ILK851953 IVG851953 JFC851953 JOY851953 JYU851953 KIQ851953 KSM851953 LCI851953 LME851953 LWA851953 MFW851953 MPS851953 MZO851953 NJK851953 NTG851953 ODC851953 OMY851953 OWU851953 PGQ851953 PQM851953 QAI851953 QKE851953 QUA851953 RDW851953 RNS851953 RXO851953 SHK851953 SRG851953 TBC851953 TKY851953 TUU851953 UEQ851953 UOM851953 UYI851953 VIE851953 VSA851953 WBW851953 WLS851953 WVO851953 G917489 JC917489 SY917489 ACU917489 AMQ917489 AWM917489 BGI917489 BQE917489 CAA917489 CJW917489 CTS917489 DDO917489 DNK917489 DXG917489 EHC917489 EQY917489 FAU917489 FKQ917489 FUM917489 GEI917489 GOE917489 GYA917489 HHW917489 HRS917489 IBO917489 ILK917489 IVG917489 JFC917489 JOY917489 JYU917489 KIQ917489 KSM917489 LCI917489 LME917489 LWA917489 MFW917489 MPS917489 MZO917489 NJK917489 NTG917489 ODC917489 OMY917489 OWU917489 PGQ917489 PQM917489 QAI917489 QKE917489 QUA917489 RDW917489 RNS917489 RXO917489 SHK917489 SRG917489 TBC917489 TKY917489 TUU917489 UEQ917489 UOM917489 UYI917489 VIE917489 VSA917489 WBW917489 WLS917489 WVO917489 G983025 JC983025 SY983025 ACU983025 AMQ983025 AWM983025 BGI983025 BQE983025 CAA983025 CJW983025 CTS983025 DDO983025 DNK983025 DXG983025 EHC983025 EQY983025 FAU983025 FKQ983025 FUM983025 GEI983025 GOE983025 GYA983025 HHW983025 HRS983025 IBO983025 ILK983025 IVG983025 JFC983025 JOY983025 JYU983025 KIQ983025 KSM983025 LCI983025 LME983025 LWA983025 MFW983025 MPS983025 MZO983025 NJK983025 NTG983025 ODC983025 OMY983025 OWU983025 PGQ983025 PQM983025 QAI983025 QKE983025 QUA983025 RDW983025 RNS983025 RXO983025 SHK983025 SRG983025 TBC983025 TKY983025 TUU983025 UEQ983025 UOM983025 UYI983025 VIE983025 VSA983025 WBW983025 WLS983025 WVO983025 WBW983048 JC15:JC25 SY15:SY25 ACU15:ACU25 AMQ15:AMQ25 AWM15:AWM25 BGI15:BGI25 BQE15:BQE25 CAA15:CAA25 CJW15:CJW25 CTS15:CTS25 DDO15:DDO25 DNK15:DNK25 DXG15:DXG25 EHC15:EHC25 EQY15:EQY25 FAU15:FAU25 FKQ15:FKQ25 FUM15:FUM25 GEI15:GEI25 GOE15:GOE25 GYA15:GYA25 HHW15:HHW25 HRS15:HRS25 IBO15:IBO25 ILK15:ILK25 IVG15:IVG25 JFC15:JFC25 JOY15:JOY25 JYU15:JYU25 KIQ15:KIQ25 KSM15:KSM25 LCI15:LCI25 LME15:LME25 LWA15:LWA25 MFW15:MFW25 MPS15:MPS25 MZO15:MZO25 NJK15:NJK25 NTG15:NTG25 ODC15:ODC25 OMY15:OMY25 OWU15:OWU25 PGQ15:PGQ25 PQM15:PQM25 QAI15:QAI25 QKE15:QKE25 QUA15:QUA25 RDW15:RDW25 RNS15:RNS25 RXO15:RXO25 SHK15:SHK25 SRG15:SRG25 TBC15:TBC25 TKY15:TKY25 TUU15:TUU25 UEQ15:UEQ25 UOM15:UOM25 UYI15:UYI25 VIE15:VIE25 VSA15:VSA25 WBW15:WBW25 WLS15:WLS25 WVO15:WVO25 G65532:G65542 JC65532:JC65542 SY65532:SY65542 ACU65532:ACU65542 AMQ65532:AMQ65542 AWM65532:AWM65542 BGI65532:BGI65542 BQE65532:BQE65542 CAA65532:CAA65542 CJW65532:CJW65542 CTS65532:CTS65542 DDO65532:DDO65542 DNK65532:DNK65542 DXG65532:DXG65542 EHC65532:EHC65542 EQY65532:EQY65542 FAU65532:FAU65542 FKQ65532:FKQ65542 FUM65532:FUM65542 GEI65532:GEI65542 GOE65532:GOE65542 GYA65532:GYA65542 HHW65532:HHW65542 HRS65532:HRS65542 IBO65532:IBO65542 ILK65532:ILK65542 IVG65532:IVG65542 JFC65532:JFC65542 JOY65532:JOY65542 JYU65532:JYU65542 KIQ65532:KIQ65542 KSM65532:KSM65542 LCI65532:LCI65542 LME65532:LME65542 LWA65532:LWA65542 MFW65532:MFW65542 MPS65532:MPS65542 MZO65532:MZO65542 NJK65532:NJK65542 NTG65532:NTG65542 ODC65532:ODC65542 OMY65532:OMY65542 OWU65532:OWU65542 PGQ65532:PGQ65542 PQM65532:PQM65542 QAI65532:QAI65542 QKE65532:QKE65542 QUA65532:QUA65542 RDW65532:RDW65542 RNS65532:RNS65542 RXO65532:RXO65542 SHK65532:SHK65542 SRG65532:SRG65542 TBC65532:TBC65542 TKY65532:TKY65542 TUU65532:TUU65542 UEQ65532:UEQ65542 UOM65532:UOM65542 UYI65532:UYI65542 VIE65532:VIE65542 VSA65532:VSA65542 WBW65532:WBW65542 WLS65532:WLS65542 WVO65532:WVO65542 G131068:G131078 JC131068:JC131078 SY131068:SY131078 ACU131068:ACU131078 AMQ131068:AMQ131078 AWM131068:AWM131078 BGI131068:BGI131078 BQE131068:BQE131078 CAA131068:CAA131078 CJW131068:CJW131078 CTS131068:CTS131078 DDO131068:DDO131078 DNK131068:DNK131078 DXG131068:DXG131078 EHC131068:EHC131078 EQY131068:EQY131078 FAU131068:FAU131078 FKQ131068:FKQ131078 FUM131068:FUM131078 GEI131068:GEI131078 GOE131068:GOE131078 GYA131068:GYA131078 HHW131068:HHW131078 HRS131068:HRS131078 IBO131068:IBO131078 ILK131068:ILK131078 IVG131068:IVG131078 JFC131068:JFC131078 JOY131068:JOY131078 JYU131068:JYU131078 KIQ131068:KIQ131078 KSM131068:KSM131078 LCI131068:LCI131078 LME131068:LME131078 LWA131068:LWA131078 MFW131068:MFW131078 MPS131068:MPS131078 MZO131068:MZO131078 NJK131068:NJK131078 NTG131068:NTG131078 ODC131068:ODC131078 OMY131068:OMY131078 OWU131068:OWU131078 PGQ131068:PGQ131078 PQM131068:PQM131078 QAI131068:QAI131078 QKE131068:QKE131078 QUA131068:QUA131078 RDW131068:RDW131078 RNS131068:RNS131078 RXO131068:RXO131078 SHK131068:SHK131078 SRG131068:SRG131078 TBC131068:TBC131078 TKY131068:TKY131078 TUU131068:TUU131078 UEQ131068:UEQ131078 UOM131068:UOM131078 UYI131068:UYI131078 VIE131068:VIE131078 VSA131068:VSA131078 WBW131068:WBW131078 WLS131068:WLS131078 WVO131068:WVO131078 G196604:G196614 JC196604:JC196614 SY196604:SY196614 ACU196604:ACU196614 AMQ196604:AMQ196614 AWM196604:AWM196614 BGI196604:BGI196614 BQE196604:BQE196614 CAA196604:CAA196614 CJW196604:CJW196614 CTS196604:CTS196614 DDO196604:DDO196614 DNK196604:DNK196614 DXG196604:DXG196614 EHC196604:EHC196614 EQY196604:EQY196614 FAU196604:FAU196614 FKQ196604:FKQ196614 FUM196604:FUM196614 GEI196604:GEI196614 GOE196604:GOE196614 GYA196604:GYA196614 HHW196604:HHW196614 HRS196604:HRS196614 IBO196604:IBO196614 ILK196604:ILK196614 IVG196604:IVG196614 JFC196604:JFC196614 JOY196604:JOY196614 JYU196604:JYU196614 KIQ196604:KIQ196614 KSM196604:KSM196614 LCI196604:LCI196614 LME196604:LME196614 LWA196604:LWA196614 MFW196604:MFW196614 MPS196604:MPS196614 MZO196604:MZO196614 NJK196604:NJK196614 NTG196604:NTG196614 ODC196604:ODC196614 OMY196604:OMY196614 OWU196604:OWU196614 PGQ196604:PGQ196614 PQM196604:PQM196614 QAI196604:QAI196614 QKE196604:QKE196614 QUA196604:QUA196614 RDW196604:RDW196614 RNS196604:RNS196614 RXO196604:RXO196614 SHK196604:SHK196614 SRG196604:SRG196614 TBC196604:TBC196614 TKY196604:TKY196614 TUU196604:TUU196614 UEQ196604:UEQ196614 UOM196604:UOM196614 UYI196604:UYI196614 VIE196604:VIE196614 VSA196604:VSA196614 WBW196604:WBW196614 WLS196604:WLS196614 WVO196604:WVO196614 G262140:G262150 JC262140:JC262150 SY262140:SY262150 ACU262140:ACU262150 AMQ262140:AMQ262150 AWM262140:AWM262150 BGI262140:BGI262150 BQE262140:BQE262150 CAA262140:CAA262150 CJW262140:CJW262150 CTS262140:CTS262150 DDO262140:DDO262150 DNK262140:DNK262150 DXG262140:DXG262150 EHC262140:EHC262150 EQY262140:EQY262150 FAU262140:FAU262150 FKQ262140:FKQ262150 FUM262140:FUM262150 GEI262140:GEI262150 GOE262140:GOE262150 GYA262140:GYA262150 HHW262140:HHW262150 HRS262140:HRS262150 IBO262140:IBO262150 ILK262140:ILK262150 IVG262140:IVG262150 JFC262140:JFC262150 JOY262140:JOY262150 JYU262140:JYU262150 KIQ262140:KIQ262150 KSM262140:KSM262150 LCI262140:LCI262150 LME262140:LME262150 LWA262140:LWA262150 MFW262140:MFW262150 MPS262140:MPS262150 MZO262140:MZO262150 NJK262140:NJK262150 NTG262140:NTG262150 ODC262140:ODC262150 OMY262140:OMY262150 OWU262140:OWU262150 PGQ262140:PGQ262150 PQM262140:PQM262150 QAI262140:QAI262150 QKE262140:QKE262150 QUA262140:QUA262150 RDW262140:RDW262150 RNS262140:RNS262150 RXO262140:RXO262150 SHK262140:SHK262150 SRG262140:SRG262150 TBC262140:TBC262150 TKY262140:TKY262150 TUU262140:TUU262150 UEQ262140:UEQ262150 UOM262140:UOM262150 UYI262140:UYI262150 VIE262140:VIE262150 VSA262140:VSA262150 WBW262140:WBW262150 WLS262140:WLS262150 WVO262140:WVO262150 G327676:G327686 JC327676:JC327686 SY327676:SY327686 ACU327676:ACU327686 AMQ327676:AMQ327686 AWM327676:AWM327686 BGI327676:BGI327686 BQE327676:BQE327686 CAA327676:CAA327686 CJW327676:CJW327686 CTS327676:CTS327686 DDO327676:DDO327686 DNK327676:DNK327686 DXG327676:DXG327686 EHC327676:EHC327686 EQY327676:EQY327686 FAU327676:FAU327686 FKQ327676:FKQ327686 FUM327676:FUM327686 GEI327676:GEI327686 GOE327676:GOE327686 GYA327676:GYA327686 HHW327676:HHW327686 HRS327676:HRS327686 IBO327676:IBO327686 ILK327676:ILK327686 IVG327676:IVG327686 JFC327676:JFC327686 JOY327676:JOY327686 JYU327676:JYU327686 KIQ327676:KIQ327686 KSM327676:KSM327686 LCI327676:LCI327686 LME327676:LME327686 LWA327676:LWA327686 MFW327676:MFW327686 MPS327676:MPS327686 MZO327676:MZO327686 NJK327676:NJK327686 NTG327676:NTG327686 ODC327676:ODC327686 OMY327676:OMY327686 OWU327676:OWU327686 PGQ327676:PGQ327686 PQM327676:PQM327686 QAI327676:QAI327686 QKE327676:QKE327686 QUA327676:QUA327686 RDW327676:RDW327686 RNS327676:RNS327686 RXO327676:RXO327686 SHK327676:SHK327686 SRG327676:SRG327686 TBC327676:TBC327686 TKY327676:TKY327686 TUU327676:TUU327686 UEQ327676:UEQ327686 UOM327676:UOM327686 UYI327676:UYI327686 VIE327676:VIE327686 VSA327676:VSA327686 WBW327676:WBW327686 WLS327676:WLS327686 WVO327676:WVO327686 G393212:G393222 JC393212:JC393222 SY393212:SY393222 ACU393212:ACU393222 AMQ393212:AMQ393222 AWM393212:AWM393222 BGI393212:BGI393222 BQE393212:BQE393222 CAA393212:CAA393222 CJW393212:CJW393222 CTS393212:CTS393222 DDO393212:DDO393222 DNK393212:DNK393222 DXG393212:DXG393222 EHC393212:EHC393222 EQY393212:EQY393222 FAU393212:FAU393222 FKQ393212:FKQ393222 FUM393212:FUM393222 GEI393212:GEI393222 GOE393212:GOE393222 GYA393212:GYA393222 HHW393212:HHW393222 HRS393212:HRS393222 IBO393212:IBO393222 ILK393212:ILK393222 IVG393212:IVG393222 JFC393212:JFC393222 JOY393212:JOY393222 JYU393212:JYU393222 KIQ393212:KIQ393222 KSM393212:KSM393222 LCI393212:LCI393222 LME393212:LME393222 LWA393212:LWA393222 MFW393212:MFW393222 MPS393212:MPS393222 MZO393212:MZO393222 NJK393212:NJK393222 NTG393212:NTG393222 ODC393212:ODC393222 OMY393212:OMY393222 OWU393212:OWU393222 PGQ393212:PGQ393222 PQM393212:PQM393222 QAI393212:QAI393222 QKE393212:QKE393222 QUA393212:QUA393222 RDW393212:RDW393222 RNS393212:RNS393222 RXO393212:RXO393222 SHK393212:SHK393222 SRG393212:SRG393222 TBC393212:TBC393222 TKY393212:TKY393222 TUU393212:TUU393222 UEQ393212:UEQ393222 UOM393212:UOM393222 UYI393212:UYI393222 VIE393212:VIE393222 VSA393212:VSA393222 WBW393212:WBW393222 WLS393212:WLS393222 WVO393212:WVO393222 G458748:G458758 JC458748:JC458758 SY458748:SY458758 ACU458748:ACU458758 AMQ458748:AMQ458758 AWM458748:AWM458758 BGI458748:BGI458758 BQE458748:BQE458758 CAA458748:CAA458758 CJW458748:CJW458758 CTS458748:CTS458758 DDO458748:DDO458758 DNK458748:DNK458758 DXG458748:DXG458758 EHC458748:EHC458758 EQY458748:EQY458758 FAU458748:FAU458758 FKQ458748:FKQ458758 FUM458748:FUM458758 GEI458748:GEI458758 GOE458748:GOE458758 GYA458748:GYA458758 HHW458748:HHW458758 HRS458748:HRS458758 IBO458748:IBO458758 ILK458748:ILK458758 IVG458748:IVG458758 JFC458748:JFC458758 JOY458748:JOY458758 JYU458748:JYU458758 KIQ458748:KIQ458758 KSM458748:KSM458758 LCI458748:LCI458758 LME458748:LME458758 LWA458748:LWA458758 MFW458748:MFW458758 MPS458748:MPS458758 MZO458748:MZO458758 NJK458748:NJK458758 NTG458748:NTG458758 ODC458748:ODC458758 OMY458748:OMY458758 OWU458748:OWU458758 PGQ458748:PGQ458758 PQM458748:PQM458758 QAI458748:QAI458758 QKE458748:QKE458758 QUA458748:QUA458758 RDW458748:RDW458758 RNS458748:RNS458758 RXO458748:RXO458758 SHK458748:SHK458758 SRG458748:SRG458758 TBC458748:TBC458758 TKY458748:TKY458758 TUU458748:TUU458758 UEQ458748:UEQ458758 UOM458748:UOM458758 UYI458748:UYI458758 VIE458748:VIE458758 VSA458748:VSA458758 WBW458748:WBW458758 WLS458748:WLS458758 WVO458748:WVO458758 G524284:G524294 JC524284:JC524294 SY524284:SY524294 ACU524284:ACU524294 AMQ524284:AMQ524294 AWM524284:AWM524294 BGI524284:BGI524294 BQE524284:BQE524294 CAA524284:CAA524294 CJW524284:CJW524294 CTS524284:CTS524294 DDO524284:DDO524294 DNK524284:DNK524294 DXG524284:DXG524294 EHC524284:EHC524294 EQY524284:EQY524294 FAU524284:FAU524294 FKQ524284:FKQ524294 FUM524284:FUM524294 GEI524284:GEI524294 GOE524284:GOE524294 GYA524284:GYA524294 HHW524284:HHW524294 HRS524284:HRS524294 IBO524284:IBO524294 ILK524284:ILK524294 IVG524284:IVG524294 JFC524284:JFC524294 JOY524284:JOY524294 JYU524284:JYU524294 KIQ524284:KIQ524294 KSM524284:KSM524294 LCI524284:LCI524294 LME524284:LME524294 LWA524284:LWA524294 MFW524284:MFW524294 MPS524284:MPS524294 MZO524284:MZO524294 NJK524284:NJK524294 NTG524284:NTG524294 ODC524284:ODC524294 OMY524284:OMY524294 OWU524284:OWU524294 PGQ524284:PGQ524294 PQM524284:PQM524294 QAI524284:QAI524294 QKE524284:QKE524294 QUA524284:QUA524294 RDW524284:RDW524294 RNS524284:RNS524294 RXO524284:RXO524294 SHK524284:SHK524294 SRG524284:SRG524294 TBC524284:TBC524294 TKY524284:TKY524294 TUU524284:TUU524294 UEQ524284:UEQ524294 UOM524284:UOM524294 UYI524284:UYI524294 VIE524284:VIE524294 VSA524284:VSA524294 WBW524284:WBW524294 WLS524284:WLS524294 WVO524284:WVO524294 G589820:G589830 JC589820:JC589830 SY589820:SY589830 ACU589820:ACU589830 AMQ589820:AMQ589830 AWM589820:AWM589830 BGI589820:BGI589830 BQE589820:BQE589830 CAA589820:CAA589830 CJW589820:CJW589830 CTS589820:CTS589830 DDO589820:DDO589830 DNK589820:DNK589830 DXG589820:DXG589830 EHC589820:EHC589830 EQY589820:EQY589830 FAU589820:FAU589830 FKQ589820:FKQ589830 FUM589820:FUM589830 GEI589820:GEI589830 GOE589820:GOE589830 GYA589820:GYA589830 HHW589820:HHW589830 HRS589820:HRS589830 IBO589820:IBO589830 ILK589820:ILK589830 IVG589820:IVG589830 JFC589820:JFC589830 JOY589820:JOY589830 JYU589820:JYU589830 KIQ589820:KIQ589830 KSM589820:KSM589830 LCI589820:LCI589830 LME589820:LME589830 LWA589820:LWA589830 MFW589820:MFW589830 MPS589820:MPS589830 MZO589820:MZO589830 NJK589820:NJK589830 NTG589820:NTG589830 ODC589820:ODC589830 OMY589820:OMY589830 OWU589820:OWU589830 PGQ589820:PGQ589830 PQM589820:PQM589830 QAI589820:QAI589830 QKE589820:QKE589830 QUA589820:QUA589830 RDW589820:RDW589830 RNS589820:RNS589830 RXO589820:RXO589830 SHK589820:SHK589830 SRG589820:SRG589830 TBC589820:TBC589830 TKY589820:TKY589830 TUU589820:TUU589830 UEQ589820:UEQ589830 UOM589820:UOM589830 UYI589820:UYI589830 VIE589820:VIE589830 VSA589820:VSA589830 WBW589820:WBW589830 WLS589820:WLS589830 WVO589820:WVO589830 G655356:G655366 JC655356:JC655366 SY655356:SY655366 ACU655356:ACU655366 AMQ655356:AMQ655366 AWM655356:AWM655366 BGI655356:BGI655366 BQE655356:BQE655366 CAA655356:CAA655366 CJW655356:CJW655366 CTS655356:CTS655366 DDO655356:DDO655366 DNK655356:DNK655366 DXG655356:DXG655366 EHC655356:EHC655366 EQY655356:EQY655366 FAU655356:FAU655366 FKQ655356:FKQ655366 FUM655356:FUM655366 GEI655356:GEI655366 GOE655356:GOE655366 GYA655356:GYA655366 HHW655356:HHW655366 HRS655356:HRS655366 IBO655356:IBO655366 ILK655356:ILK655366 IVG655356:IVG655366 JFC655356:JFC655366 JOY655356:JOY655366 JYU655356:JYU655366 KIQ655356:KIQ655366 KSM655356:KSM655366 LCI655356:LCI655366 LME655356:LME655366 LWA655356:LWA655366 MFW655356:MFW655366 MPS655356:MPS655366 MZO655356:MZO655366 NJK655356:NJK655366 NTG655356:NTG655366 ODC655356:ODC655366 OMY655356:OMY655366 OWU655356:OWU655366 PGQ655356:PGQ655366 PQM655356:PQM655366 QAI655356:QAI655366 QKE655356:QKE655366 QUA655356:QUA655366 RDW655356:RDW655366 RNS655356:RNS655366 RXO655356:RXO655366 SHK655356:SHK655366 SRG655356:SRG655366 TBC655356:TBC655366 TKY655356:TKY655366 TUU655356:TUU655366 UEQ655356:UEQ655366 UOM655356:UOM655366 UYI655356:UYI655366 VIE655356:VIE655366 VSA655356:VSA655366 WBW655356:WBW655366 WLS655356:WLS655366 WVO655356:WVO655366 G720892:G720902 JC720892:JC720902 SY720892:SY720902 ACU720892:ACU720902 AMQ720892:AMQ720902 AWM720892:AWM720902 BGI720892:BGI720902 BQE720892:BQE720902 CAA720892:CAA720902 CJW720892:CJW720902 CTS720892:CTS720902 DDO720892:DDO720902 DNK720892:DNK720902 DXG720892:DXG720902 EHC720892:EHC720902 EQY720892:EQY720902 FAU720892:FAU720902 FKQ720892:FKQ720902 FUM720892:FUM720902 GEI720892:GEI720902 GOE720892:GOE720902 GYA720892:GYA720902 HHW720892:HHW720902 HRS720892:HRS720902 IBO720892:IBO720902 ILK720892:ILK720902 IVG720892:IVG720902 JFC720892:JFC720902 JOY720892:JOY720902 JYU720892:JYU720902 KIQ720892:KIQ720902 KSM720892:KSM720902 LCI720892:LCI720902 LME720892:LME720902 LWA720892:LWA720902 MFW720892:MFW720902 MPS720892:MPS720902 MZO720892:MZO720902 NJK720892:NJK720902 NTG720892:NTG720902 ODC720892:ODC720902 OMY720892:OMY720902 OWU720892:OWU720902 PGQ720892:PGQ720902 PQM720892:PQM720902 QAI720892:QAI720902 QKE720892:QKE720902 QUA720892:QUA720902 RDW720892:RDW720902 RNS720892:RNS720902 RXO720892:RXO720902 SHK720892:SHK720902 SRG720892:SRG720902 TBC720892:TBC720902 TKY720892:TKY720902 TUU720892:TUU720902 UEQ720892:UEQ720902 UOM720892:UOM720902 UYI720892:UYI720902 VIE720892:VIE720902 VSA720892:VSA720902 WBW720892:WBW720902 WLS720892:WLS720902 WVO720892:WVO720902 G786428:G786438 JC786428:JC786438 SY786428:SY786438 ACU786428:ACU786438 AMQ786428:AMQ786438 AWM786428:AWM786438 BGI786428:BGI786438 BQE786428:BQE786438 CAA786428:CAA786438 CJW786428:CJW786438 CTS786428:CTS786438 DDO786428:DDO786438 DNK786428:DNK786438 DXG786428:DXG786438 EHC786428:EHC786438 EQY786428:EQY786438 FAU786428:FAU786438 FKQ786428:FKQ786438 FUM786428:FUM786438 GEI786428:GEI786438 GOE786428:GOE786438 GYA786428:GYA786438 HHW786428:HHW786438 HRS786428:HRS786438 IBO786428:IBO786438 ILK786428:ILK786438 IVG786428:IVG786438 JFC786428:JFC786438 JOY786428:JOY786438 JYU786428:JYU786438 KIQ786428:KIQ786438 KSM786428:KSM786438 LCI786428:LCI786438 LME786428:LME786438 LWA786428:LWA786438 MFW786428:MFW786438 MPS786428:MPS786438 MZO786428:MZO786438 NJK786428:NJK786438 NTG786428:NTG786438 ODC786428:ODC786438 OMY786428:OMY786438 OWU786428:OWU786438 PGQ786428:PGQ786438 PQM786428:PQM786438 QAI786428:QAI786438 QKE786428:QKE786438 QUA786428:QUA786438 RDW786428:RDW786438 RNS786428:RNS786438 RXO786428:RXO786438 SHK786428:SHK786438 SRG786428:SRG786438 TBC786428:TBC786438 TKY786428:TKY786438 TUU786428:TUU786438 UEQ786428:UEQ786438 UOM786428:UOM786438 UYI786428:UYI786438 VIE786428:VIE786438 VSA786428:VSA786438 WBW786428:WBW786438 WLS786428:WLS786438 WVO786428:WVO786438 G851964:G851974 JC851964:JC851974 SY851964:SY851974 ACU851964:ACU851974 AMQ851964:AMQ851974 AWM851964:AWM851974 BGI851964:BGI851974 BQE851964:BQE851974 CAA851964:CAA851974 CJW851964:CJW851974 CTS851964:CTS851974 DDO851964:DDO851974 DNK851964:DNK851974 DXG851964:DXG851974 EHC851964:EHC851974 EQY851964:EQY851974 FAU851964:FAU851974 FKQ851964:FKQ851974 FUM851964:FUM851974 GEI851964:GEI851974 GOE851964:GOE851974 GYA851964:GYA851974 HHW851964:HHW851974 HRS851964:HRS851974 IBO851964:IBO851974 ILK851964:ILK851974 IVG851964:IVG851974 JFC851964:JFC851974 JOY851964:JOY851974 JYU851964:JYU851974 KIQ851964:KIQ851974 KSM851964:KSM851974 LCI851964:LCI851974 LME851964:LME851974 LWA851964:LWA851974 MFW851964:MFW851974 MPS851964:MPS851974 MZO851964:MZO851974 NJK851964:NJK851974 NTG851964:NTG851974 ODC851964:ODC851974 OMY851964:OMY851974 OWU851964:OWU851974 PGQ851964:PGQ851974 PQM851964:PQM851974 QAI851964:QAI851974 QKE851964:QKE851974 QUA851964:QUA851974 RDW851964:RDW851974 RNS851964:RNS851974 RXO851964:RXO851974 SHK851964:SHK851974 SRG851964:SRG851974 TBC851964:TBC851974 TKY851964:TKY851974 TUU851964:TUU851974 UEQ851964:UEQ851974 UOM851964:UOM851974 UYI851964:UYI851974 VIE851964:VIE851974 VSA851964:VSA851974 WBW851964:WBW851974 WLS851964:WLS851974 WVO851964:WVO851974 G917500:G917510 JC917500:JC917510 SY917500:SY917510 ACU917500:ACU917510 AMQ917500:AMQ917510 AWM917500:AWM917510 BGI917500:BGI917510 BQE917500:BQE917510 CAA917500:CAA917510 CJW917500:CJW917510 CTS917500:CTS917510 DDO917500:DDO917510 DNK917500:DNK917510 DXG917500:DXG917510 EHC917500:EHC917510 EQY917500:EQY917510 FAU917500:FAU917510 FKQ917500:FKQ917510 FUM917500:FUM917510 GEI917500:GEI917510 GOE917500:GOE917510 GYA917500:GYA917510 HHW917500:HHW917510 HRS917500:HRS917510 IBO917500:IBO917510 ILK917500:ILK917510 IVG917500:IVG917510 JFC917500:JFC917510 JOY917500:JOY917510 JYU917500:JYU917510 KIQ917500:KIQ917510 KSM917500:KSM917510 LCI917500:LCI917510 LME917500:LME917510 LWA917500:LWA917510 MFW917500:MFW917510 MPS917500:MPS917510 MZO917500:MZO917510 NJK917500:NJK917510 NTG917500:NTG917510 ODC917500:ODC917510 OMY917500:OMY917510 OWU917500:OWU917510 PGQ917500:PGQ917510 PQM917500:PQM917510 QAI917500:QAI917510 QKE917500:QKE917510 QUA917500:QUA917510 RDW917500:RDW917510 RNS917500:RNS917510 RXO917500:RXO917510 SHK917500:SHK917510 SRG917500:SRG917510 TBC917500:TBC917510 TKY917500:TKY917510 TUU917500:TUU917510 UEQ917500:UEQ917510 UOM917500:UOM917510 UYI917500:UYI917510 VIE917500:VIE917510 VSA917500:VSA917510 WBW917500:WBW917510 WLS917500:WLS917510 WVO917500:WVO917510 G983036:G983046 JC983036:JC983046 SY983036:SY983046 ACU983036:ACU983046 AMQ983036:AMQ983046 AWM983036:AWM983046 BGI983036:BGI983046 BQE983036:BQE983046 CAA983036:CAA983046 CJW983036:CJW983046 CTS983036:CTS983046 DDO983036:DDO983046 DNK983036:DNK983046 DXG983036:DXG983046 EHC983036:EHC983046 EQY983036:EQY983046 FAU983036:FAU983046 FKQ983036:FKQ983046 FUM983036:FUM983046 GEI983036:GEI983046 GOE983036:GOE983046 GYA983036:GYA983046 HHW983036:HHW983046 HRS983036:HRS983046 IBO983036:IBO983046 ILK983036:ILK983046 IVG983036:IVG983046 JFC983036:JFC983046 JOY983036:JOY983046 JYU983036:JYU983046 KIQ983036:KIQ983046 KSM983036:KSM983046 LCI983036:LCI983046 LME983036:LME983046 LWA983036:LWA983046 MFW983036:MFW983046 MPS983036:MPS983046 MZO983036:MZO983046 NJK983036:NJK983046 NTG983036:NTG983046 ODC983036:ODC983046 OMY983036:OMY983046 OWU983036:OWU983046 PGQ983036:PGQ983046 PQM983036:PQM983046 QAI983036:QAI983046 QKE983036:QKE983046 QUA983036:QUA983046 RDW983036:RDW983046 RNS983036:RNS983046 RXO983036:RXO983046 SHK983036:SHK983046 SRG983036:SRG983046 TBC983036:TBC983046 TKY983036:TKY983046 TUU983036:TUU983046 UEQ983036:UEQ983046 UOM983036:UOM983046 UYI983036:UYI983046 VIE983036:VIE983046 VSA983036:VSA983046 WBW983036:WBW983046 WLS983036:WLS983046 WVO983036:WVO983046 G27 JC27:JC29 SY27:SY29 ACU27:ACU29 AMQ27:AMQ29 AWM27:AWM29 BGI27:BGI29 BQE27:BQE29 CAA27:CAA29 CJW27:CJW29 CTS27:CTS29 DDO27:DDO29 DNK27:DNK29 DXG27:DXG29 EHC27:EHC29 EQY27:EQY29 FAU27:FAU29 FKQ27:FKQ29 FUM27:FUM29 GEI27:GEI29 GOE27:GOE29 GYA27:GYA29 HHW27:HHW29 HRS27:HRS29 IBO27:IBO29 ILK27:ILK29 IVG27:IVG29 JFC27:JFC29 JOY27:JOY29 JYU27:JYU29 KIQ27:KIQ29 KSM27:KSM29 LCI27:LCI29 LME27:LME29 LWA27:LWA29 MFW27:MFW29 MPS27:MPS29 MZO27:MZO29 NJK27:NJK29 NTG27:NTG29 ODC27:ODC29 OMY27:OMY29 OWU27:OWU29 PGQ27:PGQ29 PQM27:PQM29 QAI27:QAI29 QKE27:QKE29 QUA27:QUA29 RDW27:RDW29 RNS27:RNS29 RXO27:RXO29 SHK27:SHK29 SRG27:SRG29 TBC27:TBC29 TKY27:TKY29 TUU27:TUU29 UEQ27:UEQ29 UOM27:UOM29 UYI27:UYI29 VIE27:VIE29 VSA27:VSA29 WBW27:WBW29 WLS27:WLS29 WVO27:WVO29 G65544 JC65544 SY65544 ACU65544 AMQ65544 AWM65544 BGI65544 BQE65544 CAA65544 CJW65544 CTS65544 DDO65544 DNK65544 DXG65544 EHC65544 EQY65544 FAU65544 FKQ65544 FUM65544 GEI65544 GOE65544 GYA65544 HHW65544 HRS65544 IBO65544 ILK65544 IVG65544 JFC65544 JOY65544 JYU65544 KIQ65544 KSM65544 LCI65544 LME65544 LWA65544 MFW65544 MPS65544 MZO65544 NJK65544 NTG65544 ODC65544 OMY65544 OWU65544 PGQ65544 PQM65544 QAI65544 QKE65544 QUA65544 RDW65544 RNS65544 RXO65544 SHK65544 SRG65544 TBC65544 TKY65544 TUU65544 UEQ65544 UOM65544 UYI65544 VIE65544 VSA65544 WBW65544 WLS65544 WVO65544 G131080 JC131080 SY131080 ACU131080 AMQ131080 AWM131080 BGI131080 BQE131080 CAA131080 CJW131080 CTS131080 DDO131080 DNK131080 DXG131080 EHC131080 EQY131080 FAU131080 FKQ131080 FUM131080 GEI131080 GOE131080 GYA131080 HHW131080 HRS131080 IBO131080 ILK131080 IVG131080 JFC131080 JOY131080 JYU131080 KIQ131080 KSM131080 LCI131080 LME131080 LWA131080 MFW131080 MPS131080 MZO131080 NJK131080 NTG131080 ODC131080 OMY131080 OWU131080 PGQ131080 PQM131080 QAI131080 QKE131080 QUA131080 RDW131080 RNS131080 RXO131080 SHK131080 SRG131080 TBC131080 TKY131080 TUU131080 UEQ131080 UOM131080 UYI131080 VIE131080 VSA131080 WBW131080 WLS131080 WVO131080 G196616 JC196616 SY196616 ACU196616 AMQ196616 AWM196616 BGI196616 BQE196616 CAA196616 CJW196616 CTS196616 DDO196616 DNK196616 DXG196616 EHC196616 EQY196616 FAU196616 FKQ196616 FUM196616 GEI196616 GOE196616 GYA196616 HHW196616 HRS196616 IBO196616 ILK196616 IVG196616 JFC196616 JOY196616 JYU196616 KIQ196616 KSM196616 LCI196616 LME196616 LWA196616 MFW196616 MPS196616 MZO196616 NJK196616 NTG196616 ODC196616 OMY196616 OWU196616 PGQ196616 PQM196616 QAI196616 QKE196616 QUA196616 RDW196616 RNS196616 RXO196616 SHK196616 SRG196616 TBC196616 TKY196616 TUU196616 UEQ196616 UOM196616 UYI196616 VIE196616 VSA196616 WBW196616 WLS196616 WVO196616 G262152 JC262152 SY262152 ACU262152 AMQ262152 AWM262152 BGI262152 BQE262152 CAA262152 CJW262152 CTS262152 DDO262152 DNK262152 DXG262152 EHC262152 EQY262152 FAU262152 FKQ262152 FUM262152 GEI262152 GOE262152 GYA262152 HHW262152 HRS262152 IBO262152 ILK262152 IVG262152 JFC262152 JOY262152 JYU262152 KIQ262152 KSM262152 LCI262152 LME262152 LWA262152 MFW262152 MPS262152 MZO262152 NJK262152 NTG262152 ODC262152 OMY262152 OWU262152 PGQ262152 PQM262152 QAI262152 QKE262152 QUA262152 RDW262152 RNS262152 RXO262152 SHK262152 SRG262152 TBC262152 TKY262152 TUU262152 UEQ262152 UOM262152 UYI262152 VIE262152 VSA262152 WBW262152 WLS262152 WVO262152 G327688 JC327688 SY327688 ACU327688 AMQ327688 AWM327688 BGI327688 BQE327688 CAA327688 CJW327688 CTS327688 DDO327688 DNK327688 DXG327688 EHC327688 EQY327688 FAU327688 FKQ327688 FUM327688 GEI327688 GOE327688 GYA327688 HHW327688 HRS327688 IBO327688 ILK327688 IVG327688 JFC327688 JOY327688 JYU327688 KIQ327688 KSM327688 LCI327688 LME327688 LWA327688 MFW327688 MPS327688 MZO327688 NJK327688 NTG327688 ODC327688 OMY327688 OWU327688 PGQ327688 PQM327688 QAI327688 QKE327688 QUA327688 RDW327688 RNS327688 RXO327688 SHK327688 SRG327688 TBC327688 TKY327688 TUU327688 UEQ327688 UOM327688 UYI327688 VIE327688 VSA327688 WBW327688 WLS327688 WVO327688 G393224 JC393224 SY393224 ACU393224 AMQ393224 AWM393224 BGI393224 BQE393224 CAA393224 CJW393224 CTS393224 DDO393224 DNK393224 DXG393224 EHC393224 EQY393224 FAU393224 FKQ393224 FUM393224 GEI393224 GOE393224 GYA393224 HHW393224 HRS393224 IBO393224 ILK393224 IVG393224 JFC393224 JOY393224 JYU393224 KIQ393224 KSM393224 LCI393224 LME393224 LWA393224 MFW393224 MPS393224 MZO393224 NJK393224 NTG393224 ODC393224 OMY393224 OWU393224 PGQ393224 PQM393224 QAI393224 QKE393224 QUA393224 RDW393224 RNS393224 RXO393224 SHK393224 SRG393224 TBC393224 TKY393224 TUU393224 UEQ393224 UOM393224 UYI393224 VIE393224 VSA393224 WBW393224 WLS393224 WVO393224 G458760 JC458760 SY458760 ACU458760 AMQ458760 AWM458760 BGI458760 BQE458760 CAA458760 CJW458760 CTS458760 DDO458760 DNK458760 DXG458760 EHC458760 EQY458760 FAU458760 FKQ458760 FUM458760 GEI458760 GOE458760 GYA458760 HHW458760 HRS458760 IBO458760 ILK458760 IVG458760 JFC458760 JOY458760 JYU458760 KIQ458760 KSM458760 LCI458760 LME458760 LWA458760 MFW458760 MPS458760 MZO458760 NJK458760 NTG458760 ODC458760 OMY458760 OWU458760 PGQ458760 PQM458760 QAI458760 QKE458760 QUA458760 RDW458760 RNS458760 RXO458760 SHK458760 SRG458760 TBC458760 TKY458760 TUU458760 UEQ458760 UOM458760 UYI458760 VIE458760 VSA458760 WBW458760 WLS458760 WVO458760 G524296 JC524296 SY524296 ACU524296 AMQ524296 AWM524296 BGI524296 BQE524296 CAA524296 CJW524296 CTS524296 DDO524296 DNK524296 DXG524296 EHC524296 EQY524296 FAU524296 FKQ524296 FUM524296 GEI524296 GOE524296 GYA524296 HHW524296 HRS524296 IBO524296 ILK524296 IVG524296 JFC524296 JOY524296 JYU524296 KIQ524296 KSM524296 LCI524296 LME524296 LWA524296 MFW524296 MPS524296 MZO524296 NJK524296 NTG524296 ODC524296 OMY524296 OWU524296 PGQ524296 PQM524296 QAI524296 QKE524296 QUA524296 RDW524296 RNS524296 RXO524296 SHK524296 SRG524296 TBC524296 TKY524296 TUU524296 UEQ524296 UOM524296 UYI524296 VIE524296 VSA524296 WBW524296 WLS524296 WVO524296 G589832 JC589832 SY589832 ACU589832 AMQ589832 AWM589832 BGI589832 BQE589832 CAA589832 CJW589832 CTS589832 DDO589832 DNK589832 DXG589832 EHC589832 EQY589832 FAU589832 FKQ589832 FUM589832 GEI589832 GOE589832 GYA589832 HHW589832 HRS589832 IBO589832 ILK589832 IVG589832 JFC589832 JOY589832 JYU589832 KIQ589832 KSM589832 LCI589832 LME589832 LWA589832 MFW589832 MPS589832 MZO589832 NJK589832 NTG589832 ODC589832 OMY589832 OWU589832 PGQ589832 PQM589832 QAI589832 QKE589832 QUA589832 RDW589832 RNS589832 RXO589832 SHK589832 SRG589832 TBC589832 TKY589832 TUU589832 UEQ589832 UOM589832 UYI589832 VIE589832 VSA589832 WBW589832 WLS589832 WVO589832 G655368 JC655368 SY655368 ACU655368 AMQ655368 AWM655368 BGI655368 BQE655368 CAA655368 CJW655368 CTS655368 DDO655368 DNK655368 DXG655368 EHC655368 EQY655368 FAU655368 FKQ655368 FUM655368 GEI655368 GOE655368 GYA655368 HHW655368 HRS655368 IBO655368 ILK655368 IVG655368 JFC655368 JOY655368 JYU655368 KIQ655368 KSM655368 LCI655368 LME655368 LWA655368 MFW655368 MPS655368 MZO655368 NJK655368 NTG655368 ODC655368 OMY655368 OWU655368 PGQ655368 PQM655368 QAI655368 QKE655368 QUA655368 RDW655368 RNS655368 RXO655368 SHK655368 SRG655368 TBC655368 TKY655368 TUU655368 UEQ655368 UOM655368 UYI655368 VIE655368 VSA655368 WBW655368 WLS655368 WVO655368 G720904 JC720904 SY720904 ACU720904 AMQ720904 AWM720904 BGI720904 BQE720904 CAA720904 CJW720904 CTS720904 DDO720904 DNK720904 DXG720904 EHC720904 EQY720904 FAU720904 FKQ720904 FUM720904 GEI720904 GOE720904 GYA720904 HHW720904 HRS720904 IBO720904 ILK720904 IVG720904 JFC720904 JOY720904 JYU720904 KIQ720904 KSM720904 LCI720904 LME720904 LWA720904 MFW720904 MPS720904 MZO720904 NJK720904 NTG720904 ODC720904 OMY720904 OWU720904 PGQ720904 PQM720904 QAI720904 QKE720904 QUA720904 RDW720904 RNS720904 RXO720904 SHK720904 SRG720904 TBC720904 TKY720904 TUU720904 UEQ720904 UOM720904 UYI720904 VIE720904 VSA720904 WBW720904 WLS720904 WVO720904 G786440 JC786440 SY786440 ACU786440 AMQ786440 AWM786440 BGI786440 BQE786440 CAA786440 CJW786440 CTS786440 DDO786440 DNK786440 DXG786440 EHC786440 EQY786440 FAU786440 FKQ786440 FUM786440 GEI786440 GOE786440 GYA786440 HHW786440 HRS786440 IBO786440 ILK786440 IVG786440 JFC786440 JOY786440 JYU786440 KIQ786440 KSM786440 LCI786440 LME786440 LWA786440 MFW786440 MPS786440 MZO786440 NJK786440 NTG786440 ODC786440 OMY786440 OWU786440 PGQ786440 PQM786440 QAI786440 QKE786440 QUA786440 RDW786440 RNS786440 RXO786440 SHK786440 SRG786440 TBC786440 TKY786440 TUU786440 UEQ786440 UOM786440 UYI786440 VIE786440 VSA786440 WBW786440 WLS786440 WVO786440 G851976 JC851976 SY851976 ACU851976 AMQ851976 AWM851976 BGI851976 BQE851976 CAA851976 CJW851976 CTS851976 DDO851976 DNK851976 DXG851976 EHC851976 EQY851976 FAU851976 FKQ851976 FUM851976 GEI851976 GOE851976 GYA851976 HHW851976 HRS851976 IBO851976 ILK851976 IVG851976 JFC851976 JOY851976 JYU851976 KIQ851976 KSM851976 LCI851976 LME851976 LWA851976 MFW851976 MPS851976 MZO851976 NJK851976 NTG851976 ODC851976 OMY851976 OWU851976 PGQ851976 PQM851976 QAI851976 QKE851976 QUA851976 RDW851976 RNS851976 RXO851976 SHK851976 SRG851976 TBC851976 TKY851976 TUU851976 UEQ851976 UOM851976 UYI851976 VIE851976 VSA851976 WBW851976 WLS851976 WVO851976 G917512 JC917512 SY917512 ACU917512 AMQ917512 AWM917512 BGI917512 BQE917512 CAA917512 CJW917512 CTS917512 DDO917512 DNK917512 DXG917512 EHC917512 EQY917512 FAU917512 FKQ917512 FUM917512 GEI917512 GOE917512 GYA917512 HHW917512 HRS917512 IBO917512 ILK917512 IVG917512 JFC917512 JOY917512 JYU917512 KIQ917512 KSM917512 LCI917512 LME917512 LWA917512 MFW917512 MPS917512 MZO917512 NJK917512 NTG917512 ODC917512 OMY917512 OWU917512 PGQ917512 PQM917512 QAI917512 QKE917512 QUA917512 RDW917512 RNS917512 RXO917512 SHK917512 SRG917512 TBC917512 TKY917512 TUU917512 UEQ917512 UOM917512 UYI917512 VIE917512 VSA917512 WBW917512 WLS917512 WVO917512 G983048 JC983048 SY983048 ACU983048 AMQ983048 AWM983048 BGI983048 BQE983048 CAA983048 CJW983048 CTS983048 DDO983048 DNK983048 DXG983048 EHC983048 EQY983048 FAU983048 FKQ983048 FUM983048 GEI983048 GOE983048 GYA983048 HHW983048 HRS983048 IBO983048 ILK983048 IVG983048 JFC983048 JOY983048 JYU983048 KIQ983048 KSM983048 LCI983048 LME983048 LWA983048 MFW983048 MPS983048 MZO983048 NJK983048 NTG983048 ODC983048 OMY983048 OWU983048 PGQ983048 PQM983048 QAI983048 QKE983048 QUA983048 RDW983048 RNS983048 RXO983048 SHK983048 SRG983048 TBC983048 TKY983048 TUU983048 UEQ983048 UOM983048 UYI983048 VIE983048 VSA983048 G40 G34 G29 G14:G25 G37:G38" xr:uid="{3660DA7F-F886-4A6C-B2A6-FB0F496D75C8}">
      <formula1>"0,1"</formula1>
    </dataValidation>
    <dataValidation type="decimal" allowBlank="1" showInputMessage="1" showErrorMessage="1" sqref="H65570 JD65570 SZ65570 ACV65570 AMR65570 AWN65570 BGJ65570 BQF65570 CAB65570 CJX65570 CTT65570 DDP65570 DNL65570 DXH65570 EHD65570 EQZ65570 FAV65570 FKR65570 FUN65570 GEJ65570 GOF65570 GYB65570 HHX65570 HRT65570 IBP65570 ILL65570 IVH65570 JFD65570 JOZ65570 JYV65570 KIR65570 KSN65570 LCJ65570 LMF65570 LWB65570 MFX65570 MPT65570 MZP65570 NJL65570 NTH65570 ODD65570 OMZ65570 OWV65570 PGR65570 PQN65570 QAJ65570 QKF65570 QUB65570 RDX65570 RNT65570 RXP65570 SHL65570 SRH65570 TBD65570 TKZ65570 TUV65570 UER65570 UON65570 UYJ65570 VIF65570 VSB65570 WBX65570 WLT65570 WVP65570 H131106 JD131106 SZ131106 ACV131106 AMR131106 AWN131106 BGJ131106 BQF131106 CAB131106 CJX131106 CTT131106 DDP131106 DNL131106 DXH131106 EHD131106 EQZ131106 FAV131106 FKR131106 FUN131106 GEJ131106 GOF131106 GYB131106 HHX131106 HRT131106 IBP131106 ILL131106 IVH131106 JFD131106 JOZ131106 JYV131106 KIR131106 KSN131106 LCJ131106 LMF131106 LWB131106 MFX131106 MPT131106 MZP131106 NJL131106 NTH131106 ODD131106 OMZ131106 OWV131106 PGR131106 PQN131106 QAJ131106 QKF131106 QUB131106 RDX131106 RNT131106 RXP131106 SHL131106 SRH131106 TBD131106 TKZ131106 TUV131106 UER131106 UON131106 UYJ131106 VIF131106 VSB131106 WBX131106 WLT131106 WVP131106 H196642 JD196642 SZ196642 ACV196642 AMR196642 AWN196642 BGJ196642 BQF196642 CAB196642 CJX196642 CTT196642 DDP196642 DNL196642 DXH196642 EHD196642 EQZ196642 FAV196642 FKR196642 FUN196642 GEJ196642 GOF196642 GYB196642 HHX196642 HRT196642 IBP196642 ILL196642 IVH196642 JFD196642 JOZ196642 JYV196642 KIR196642 KSN196642 LCJ196642 LMF196642 LWB196642 MFX196642 MPT196642 MZP196642 NJL196642 NTH196642 ODD196642 OMZ196642 OWV196642 PGR196642 PQN196642 QAJ196642 QKF196642 QUB196642 RDX196642 RNT196642 RXP196642 SHL196642 SRH196642 TBD196642 TKZ196642 TUV196642 UER196642 UON196642 UYJ196642 VIF196642 VSB196642 WBX196642 WLT196642 WVP196642 H262178 JD262178 SZ262178 ACV262178 AMR262178 AWN262178 BGJ262178 BQF262178 CAB262178 CJX262178 CTT262178 DDP262178 DNL262178 DXH262178 EHD262178 EQZ262178 FAV262178 FKR262178 FUN262178 GEJ262178 GOF262178 GYB262178 HHX262178 HRT262178 IBP262178 ILL262178 IVH262178 JFD262178 JOZ262178 JYV262178 KIR262178 KSN262178 LCJ262178 LMF262178 LWB262178 MFX262178 MPT262178 MZP262178 NJL262178 NTH262178 ODD262178 OMZ262178 OWV262178 PGR262178 PQN262178 QAJ262178 QKF262178 QUB262178 RDX262178 RNT262178 RXP262178 SHL262178 SRH262178 TBD262178 TKZ262178 TUV262178 UER262178 UON262178 UYJ262178 VIF262178 VSB262178 WBX262178 WLT262178 WVP262178 H327714 JD327714 SZ327714 ACV327714 AMR327714 AWN327714 BGJ327714 BQF327714 CAB327714 CJX327714 CTT327714 DDP327714 DNL327714 DXH327714 EHD327714 EQZ327714 FAV327714 FKR327714 FUN327714 GEJ327714 GOF327714 GYB327714 HHX327714 HRT327714 IBP327714 ILL327714 IVH327714 JFD327714 JOZ327714 JYV327714 KIR327714 KSN327714 LCJ327714 LMF327714 LWB327714 MFX327714 MPT327714 MZP327714 NJL327714 NTH327714 ODD327714 OMZ327714 OWV327714 PGR327714 PQN327714 QAJ327714 QKF327714 QUB327714 RDX327714 RNT327714 RXP327714 SHL327714 SRH327714 TBD327714 TKZ327714 TUV327714 UER327714 UON327714 UYJ327714 VIF327714 VSB327714 WBX327714 WLT327714 WVP327714 H393250 JD393250 SZ393250 ACV393250 AMR393250 AWN393250 BGJ393250 BQF393250 CAB393250 CJX393250 CTT393250 DDP393250 DNL393250 DXH393250 EHD393250 EQZ393250 FAV393250 FKR393250 FUN393250 GEJ393250 GOF393250 GYB393250 HHX393250 HRT393250 IBP393250 ILL393250 IVH393250 JFD393250 JOZ393250 JYV393250 KIR393250 KSN393250 LCJ393250 LMF393250 LWB393250 MFX393250 MPT393250 MZP393250 NJL393250 NTH393250 ODD393250 OMZ393250 OWV393250 PGR393250 PQN393250 QAJ393250 QKF393250 QUB393250 RDX393250 RNT393250 RXP393250 SHL393250 SRH393250 TBD393250 TKZ393250 TUV393250 UER393250 UON393250 UYJ393250 VIF393250 VSB393250 WBX393250 WLT393250 WVP393250 H458786 JD458786 SZ458786 ACV458786 AMR458786 AWN458786 BGJ458786 BQF458786 CAB458786 CJX458786 CTT458786 DDP458786 DNL458786 DXH458786 EHD458786 EQZ458786 FAV458786 FKR458786 FUN458786 GEJ458786 GOF458786 GYB458786 HHX458786 HRT458786 IBP458786 ILL458786 IVH458786 JFD458786 JOZ458786 JYV458786 KIR458786 KSN458786 LCJ458786 LMF458786 LWB458786 MFX458786 MPT458786 MZP458786 NJL458786 NTH458786 ODD458786 OMZ458786 OWV458786 PGR458786 PQN458786 QAJ458786 QKF458786 QUB458786 RDX458786 RNT458786 RXP458786 SHL458786 SRH458786 TBD458786 TKZ458786 TUV458786 UER458786 UON458786 UYJ458786 VIF458786 VSB458786 WBX458786 WLT458786 WVP458786 H524322 JD524322 SZ524322 ACV524322 AMR524322 AWN524322 BGJ524322 BQF524322 CAB524322 CJX524322 CTT524322 DDP524322 DNL524322 DXH524322 EHD524322 EQZ524322 FAV524322 FKR524322 FUN524322 GEJ524322 GOF524322 GYB524322 HHX524322 HRT524322 IBP524322 ILL524322 IVH524322 JFD524322 JOZ524322 JYV524322 KIR524322 KSN524322 LCJ524322 LMF524322 LWB524322 MFX524322 MPT524322 MZP524322 NJL524322 NTH524322 ODD524322 OMZ524322 OWV524322 PGR524322 PQN524322 QAJ524322 QKF524322 QUB524322 RDX524322 RNT524322 RXP524322 SHL524322 SRH524322 TBD524322 TKZ524322 TUV524322 UER524322 UON524322 UYJ524322 VIF524322 VSB524322 WBX524322 WLT524322 WVP524322 H589858 JD589858 SZ589858 ACV589858 AMR589858 AWN589858 BGJ589858 BQF589858 CAB589858 CJX589858 CTT589858 DDP589858 DNL589858 DXH589858 EHD589858 EQZ589858 FAV589858 FKR589858 FUN589858 GEJ589858 GOF589858 GYB589858 HHX589858 HRT589858 IBP589858 ILL589858 IVH589858 JFD589858 JOZ589858 JYV589858 KIR589858 KSN589858 LCJ589858 LMF589858 LWB589858 MFX589858 MPT589858 MZP589858 NJL589858 NTH589858 ODD589858 OMZ589858 OWV589858 PGR589858 PQN589858 QAJ589858 QKF589858 QUB589858 RDX589858 RNT589858 RXP589858 SHL589858 SRH589858 TBD589858 TKZ589858 TUV589858 UER589858 UON589858 UYJ589858 VIF589858 VSB589858 WBX589858 WLT589858 WVP589858 H655394 JD655394 SZ655394 ACV655394 AMR655394 AWN655394 BGJ655394 BQF655394 CAB655394 CJX655394 CTT655394 DDP655394 DNL655394 DXH655394 EHD655394 EQZ655394 FAV655394 FKR655394 FUN655394 GEJ655394 GOF655394 GYB655394 HHX655394 HRT655394 IBP655394 ILL655394 IVH655394 JFD655394 JOZ655394 JYV655394 KIR655394 KSN655394 LCJ655394 LMF655394 LWB655394 MFX655394 MPT655394 MZP655394 NJL655394 NTH655394 ODD655394 OMZ655394 OWV655394 PGR655394 PQN655394 QAJ655394 QKF655394 QUB655394 RDX655394 RNT655394 RXP655394 SHL655394 SRH655394 TBD655394 TKZ655394 TUV655394 UER655394 UON655394 UYJ655394 VIF655394 VSB655394 WBX655394 WLT655394 WVP655394 H720930 JD720930 SZ720930 ACV720930 AMR720930 AWN720930 BGJ720930 BQF720930 CAB720930 CJX720930 CTT720930 DDP720930 DNL720930 DXH720930 EHD720930 EQZ720930 FAV720930 FKR720930 FUN720930 GEJ720930 GOF720930 GYB720930 HHX720930 HRT720930 IBP720930 ILL720930 IVH720930 JFD720930 JOZ720930 JYV720930 KIR720930 KSN720930 LCJ720930 LMF720930 LWB720930 MFX720930 MPT720930 MZP720930 NJL720930 NTH720930 ODD720930 OMZ720930 OWV720930 PGR720930 PQN720930 QAJ720930 QKF720930 QUB720930 RDX720930 RNT720930 RXP720930 SHL720930 SRH720930 TBD720930 TKZ720930 TUV720930 UER720930 UON720930 UYJ720930 VIF720930 VSB720930 WBX720930 WLT720930 WVP720930 H786466 JD786466 SZ786466 ACV786466 AMR786466 AWN786466 BGJ786466 BQF786466 CAB786466 CJX786466 CTT786466 DDP786466 DNL786466 DXH786466 EHD786466 EQZ786466 FAV786466 FKR786466 FUN786466 GEJ786466 GOF786466 GYB786466 HHX786466 HRT786466 IBP786466 ILL786466 IVH786466 JFD786466 JOZ786466 JYV786466 KIR786466 KSN786466 LCJ786466 LMF786466 LWB786466 MFX786466 MPT786466 MZP786466 NJL786466 NTH786466 ODD786466 OMZ786466 OWV786466 PGR786466 PQN786466 QAJ786466 QKF786466 QUB786466 RDX786466 RNT786466 RXP786466 SHL786466 SRH786466 TBD786466 TKZ786466 TUV786466 UER786466 UON786466 UYJ786466 VIF786466 VSB786466 WBX786466 WLT786466 WVP786466 H852002 JD852002 SZ852002 ACV852002 AMR852002 AWN852002 BGJ852002 BQF852002 CAB852002 CJX852002 CTT852002 DDP852002 DNL852002 DXH852002 EHD852002 EQZ852002 FAV852002 FKR852002 FUN852002 GEJ852002 GOF852002 GYB852002 HHX852002 HRT852002 IBP852002 ILL852002 IVH852002 JFD852002 JOZ852002 JYV852002 KIR852002 KSN852002 LCJ852002 LMF852002 LWB852002 MFX852002 MPT852002 MZP852002 NJL852002 NTH852002 ODD852002 OMZ852002 OWV852002 PGR852002 PQN852002 QAJ852002 QKF852002 QUB852002 RDX852002 RNT852002 RXP852002 SHL852002 SRH852002 TBD852002 TKZ852002 TUV852002 UER852002 UON852002 UYJ852002 VIF852002 VSB852002 WBX852002 WLT852002 WVP852002 H917538 JD917538 SZ917538 ACV917538 AMR917538 AWN917538 BGJ917538 BQF917538 CAB917538 CJX917538 CTT917538 DDP917538 DNL917538 DXH917538 EHD917538 EQZ917538 FAV917538 FKR917538 FUN917538 GEJ917538 GOF917538 GYB917538 HHX917538 HRT917538 IBP917538 ILL917538 IVH917538 JFD917538 JOZ917538 JYV917538 KIR917538 KSN917538 LCJ917538 LMF917538 LWB917538 MFX917538 MPT917538 MZP917538 NJL917538 NTH917538 ODD917538 OMZ917538 OWV917538 PGR917538 PQN917538 QAJ917538 QKF917538 QUB917538 RDX917538 RNT917538 RXP917538 SHL917538 SRH917538 TBD917538 TKZ917538 TUV917538 UER917538 UON917538 UYJ917538 VIF917538 VSB917538 WBX917538 WLT917538 WVP917538 H983074 JD983074 SZ983074 ACV983074 AMR983074 AWN983074 BGJ983074 BQF983074 CAB983074 CJX983074 CTT983074 DDP983074 DNL983074 DXH983074 EHD983074 EQZ983074 FAV983074 FKR983074 FUN983074 GEJ983074 GOF983074 GYB983074 HHX983074 HRT983074 IBP983074 ILL983074 IVH983074 JFD983074 JOZ983074 JYV983074 KIR983074 KSN983074 LCJ983074 LMF983074 LWB983074 MFX983074 MPT983074 MZP983074 NJL983074 NTH983074 ODD983074 OMZ983074 OWV983074 PGR983074 PQN983074 QAJ983074 QKF983074 QUB983074 RDX983074 RNT983074 RXP983074 SHL983074 SRH983074 TBD983074 TKZ983074 TUV983074 UER983074 UON983074 UYJ983074 VIF983074 VSB983074 WBX983074 WLT983074 WVP983074" xr:uid="{56384FBA-571C-4414-9246-9F4DA953F325}">
      <formula1>0</formula1>
      <formula2>0.03</formula2>
    </dataValidation>
    <dataValidation type="decimal" showInputMessage="1" showErrorMessage="1" sqref="H65567 JD65567 SZ65567 ACV65567 AMR65567 AWN65567 BGJ65567 BQF65567 CAB65567 CJX65567 CTT65567 DDP65567 DNL65567 DXH65567 EHD65567 EQZ65567 FAV65567 FKR65567 FUN65567 GEJ65567 GOF65567 GYB65567 HHX65567 HRT65567 IBP65567 ILL65567 IVH65567 JFD65567 JOZ65567 JYV65567 KIR65567 KSN65567 LCJ65567 LMF65567 LWB65567 MFX65567 MPT65567 MZP65567 NJL65567 NTH65567 ODD65567 OMZ65567 OWV65567 PGR65567 PQN65567 QAJ65567 QKF65567 QUB65567 RDX65567 RNT65567 RXP65567 SHL65567 SRH65567 TBD65567 TKZ65567 TUV65567 UER65567 UON65567 UYJ65567 VIF65567 VSB65567 WBX65567 WLT65567 WVP65567 H131103 JD131103 SZ131103 ACV131103 AMR131103 AWN131103 BGJ131103 BQF131103 CAB131103 CJX131103 CTT131103 DDP131103 DNL131103 DXH131103 EHD131103 EQZ131103 FAV131103 FKR131103 FUN131103 GEJ131103 GOF131103 GYB131103 HHX131103 HRT131103 IBP131103 ILL131103 IVH131103 JFD131103 JOZ131103 JYV131103 KIR131103 KSN131103 LCJ131103 LMF131103 LWB131103 MFX131103 MPT131103 MZP131103 NJL131103 NTH131103 ODD131103 OMZ131103 OWV131103 PGR131103 PQN131103 QAJ131103 QKF131103 QUB131103 RDX131103 RNT131103 RXP131103 SHL131103 SRH131103 TBD131103 TKZ131103 TUV131103 UER131103 UON131103 UYJ131103 VIF131103 VSB131103 WBX131103 WLT131103 WVP131103 H196639 JD196639 SZ196639 ACV196639 AMR196639 AWN196639 BGJ196639 BQF196639 CAB196639 CJX196639 CTT196639 DDP196639 DNL196639 DXH196639 EHD196639 EQZ196639 FAV196639 FKR196639 FUN196639 GEJ196639 GOF196639 GYB196639 HHX196639 HRT196639 IBP196639 ILL196639 IVH196639 JFD196639 JOZ196639 JYV196639 KIR196639 KSN196639 LCJ196639 LMF196639 LWB196639 MFX196639 MPT196639 MZP196639 NJL196639 NTH196639 ODD196639 OMZ196639 OWV196639 PGR196639 PQN196639 QAJ196639 QKF196639 QUB196639 RDX196639 RNT196639 RXP196639 SHL196639 SRH196639 TBD196639 TKZ196639 TUV196639 UER196639 UON196639 UYJ196639 VIF196639 VSB196639 WBX196639 WLT196639 WVP196639 H262175 JD262175 SZ262175 ACV262175 AMR262175 AWN262175 BGJ262175 BQF262175 CAB262175 CJX262175 CTT262175 DDP262175 DNL262175 DXH262175 EHD262175 EQZ262175 FAV262175 FKR262175 FUN262175 GEJ262175 GOF262175 GYB262175 HHX262175 HRT262175 IBP262175 ILL262175 IVH262175 JFD262175 JOZ262175 JYV262175 KIR262175 KSN262175 LCJ262175 LMF262175 LWB262175 MFX262175 MPT262175 MZP262175 NJL262175 NTH262175 ODD262175 OMZ262175 OWV262175 PGR262175 PQN262175 QAJ262175 QKF262175 QUB262175 RDX262175 RNT262175 RXP262175 SHL262175 SRH262175 TBD262175 TKZ262175 TUV262175 UER262175 UON262175 UYJ262175 VIF262175 VSB262175 WBX262175 WLT262175 WVP262175 H327711 JD327711 SZ327711 ACV327711 AMR327711 AWN327711 BGJ327711 BQF327711 CAB327711 CJX327711 CTT327711 DDP327711 DNL327711 DXH327711 EHD327711 EQZ327711 FAV327711 FKR327711 FUN327711 GEJ327711 GOF327711 GYB327711 HHX327711 HRT327711 IBP327711 ILL327711 IVH327711 JFD327711 JOZ327711 JYV327711 KIR327711 KSN327711 LCJ327711 LMF327711 LWB327711 MFX327711 MPT327711 MZP327711 NJL327711 NTH327711 ODD327711 OMZ327711 OWV327711 PGR327711 PQN327711 QAJ327711 QKF327711 QUB327711 RDX327711 RNT327711 RXP327711 SHL327711 SRH327711 TBD327711 TKZ327711 TUV327711 UER327711 UON327711 UYJ327711 VIF327711 VSB327711 WBX327711 WLT327711 WVP327711 H393247 JD393247 SZ393247 ACV393247 AMR393247 AWN393247 BGJ393247 BQF393247 CAB393247 CJX393247 CTT393247 DDP393247 DNL393247 DXH393247 EHD393247 EQZ393247 FAV393247 FKR393247 FUN393247 GEJ393247 GOF393247 GYB393247 HHX393247 HRT393247 IBP393247 ILL393247 IVH393247 JFD393247 JOZ393247 JYV393247 KIR393247 KSN393247 LCJ393247 LMF393247 LWB393247 MFX393247 MPT393247 MZP393247 NJL393247 NTH393247 ODD393247 OMZ393247 OWV393247 PGR393247 PQN393247 QAJ393247 QKF393247 QUB393247 RDX393247 RNT393247 RXP393247 SHL393247 SRH393247 TBD393247 TKZ393247 TUV393247 UER393247 UON393247 UYJ393247 VIF393247 VSB393247 WBX393247 WLT393247 WVP393247 H458783 JD458783 SZ458783 ACV458783 AMR458783 AWN458783 BGJ458783 BQF458783 CAB458783 CJX458783 CTT458783 DDP458783 DNL458783 DXH458783 EHD458783 EQZ458783 FAV458783 FKR458783 FUN458783 GEJ458783 GOF458783 GYB458783 HHX458783 HRT458783 IBP458783 ILL458783 IVH458783 JFD458783 JOZ458783 JYV458783 KIR458783 KSN458783 LCJ458783 LMF458783 LWB458783 MFX458783 MPT458783 MZP458783 NJL458783 NTH458783 ODD458783 OMZ458783 OWV458783 PGR458783 PQN458783 QAJ458783 QKF458783 QUB458783 RDX458783 RNT458783 RXP458783 SHL458783 SRH458783 TBD458783 TKZ458783 TUV458783 UER458783 UON458783 UYJ458783 VIF458783 VSB458783 WBX458783 WLT458783 WVP458783 H524319 JD524319 SZ524319 ACV524319 AMR524319 AWN524319 BGJ524319 BQF524319 CAB524319 CJX524319 CTT524319 DDP524319 DNL524319 DXH524319 EHD524319 EQZ524319 FAV524319 FKR524319 FUN524319 GEJ524319 GOF524319 GYB524319 HHX524319 HRT524319 IBP524319 ILL524319 IVH524319 JFD524319 JOZ524319 JYV524319 KIR524319 KSN524319 LCJ524319 LMF524319 LWB524319 MFX524319 MPT524319 MZP524319 NJL524319 NTH524319 ODD524319 OMZ524319 OWV524319 PGR524319 PQN524319 QAJ524319 QKF524319 QUB524319 RDX524319 RNT524319 RXP524319 SHL524319 SRH524319 TBD524319 TKZ524319 TUV524319 UER524319 UON524319 UYJ524319 VIF524319 VSB524319 WBX524319 WLT524319 WVP524319 H589855 JD589855 SZ589855 ACV589855 AMR589855 AWN589855 BGJ589855 BQF589855 CAB589855 CJX589855 CTT589855 DDP589855 DNL589855 DXH589855 EHD589855 EQZ589855 FAV589855 FKR589855 FUN589855 GEJ589855 GOF589855 GYB589855 HHX589855 HRT589855 IBP589855 ILL589855 IVH589855 JFD589855 JOZ589855 JYV589855 KIR589855 KSN589855 LCJ589855 LMF589855 LWB589855 MFX589855 MPT589855 MZP589855 NJL589855 NTH589855 ODD589855 OMZ589855 OWV589855 PGR589855 PQN589855 QAJ589855 QKF589855 QUB589855 RDX589855 RNT589855 RXP589855 SHL589855 SRH589855 TBD589855 TKZ589855 TUV589855 UER589855 UON589855 UYJ589855 VIF589855 VSB589855 WBX589855 WLT589855 WVP589855 H655391 JD655391 SZ655391 ACV655391 AMR655391 AWN655391 BGJ655391 BQF655391 CAB655391 CJX655391 CTT655391 DDP655391 DNL655391 DXH655391 EHD655391 EQZ655391 FAV655391 FKR655391 FUN655391 GEJ655391 GOF655391 GYB655391 HHX655391 HRT655391 IBP655391 ILL655391 IVH655391 JFD655391 JOZ655391 JYV655391 KIR655391 KSN655391 LCJ655391 LMF655391 LWB655391 MFX655391 MPT655391 MZP655391 NJL655391 NTH655391 ODD655391 OMZ655391 OWV655391 PGR655391 PQN655391 QAJ655391 QKF655391 QUB655391 RDX655391 RNT655391 RXP655391 SHL655391 SRH655391 TBD655391 TKZ655391 TUV655391 UER655391 UON655391 UYJ655391 VIF655391 VSB655391 WBX655391 WLT655391 WVP655391 H720927 JD720927 SZ720927 ACV720927 AMR720927 AWN720927 BGJ720927 BQF720927 CAB720927 CJX720927 CTT720927 DDP720927 DNL720927 DXH720927 EHD720927 EQZ720927 FAV720927 FKR720927 FUN720927 GEJ720927 GOF720927 GYB720927 HHX720927 HRT720927 IBP720927 ILL720927 IVH720927 JFD720927 JOZ720927 JYV720927 KIR720927 KSN720927 LCJ720927 LMF720927 LWB720927 MFX720927 MPT720927 MZP720927 NJL720927 NTH720927 ODD720927 OMZ720927 OWV720927 PGR720927 PQN720927 QAJ720927 QKF720927 QUB720927 RDX720927 RNT720927 RXP720927 SHL720927 SRH720927 TBD720927 TKZ720927 TUV720927 UER720927 UON720927 UYJ720927 VIF720927 VSB720927 WBX720927 WLT720927 WVP720927 H786463 JD786463 SZ786463 ACV786463 AMR786463 AWN786463 BGJ786463 BQF786463 CAB786463 CJX786463 CTT786463 DDP786463 DNL786463 DXH786463 EHD786463 EQZ786463 FAV786463 FKR786463 FUN786463 GEJ786463 GOF786463 GYB786463 HHX786463 HRT786463 IBP786463 ILL786463 IVH786463 JFD786463 JOZ786463 JYV786463 KIR786463 KSN786463 LCJ786463 LMF786463 LWB786463 MFX786463 MPT786463 MZP786463 NJL786463 NTH786463 ODD786463 OMZ786463 OWV786463 PGR786463 PQN786463 QAJ786463 QKF786463 QUB786463 RDX786463 RNT786463 RXP786463 SHL786463 SRH786463 TBD786463 TKZ786463 TUV786463 UER786463 UON786463 UYJ786463 VIF786463 VSB786463 WBX786463 WLT786463 WVP786463 H851999 JD851999 SZ851999 ACV851999 AMR851999 AWN851999 BGJ851999 BQF851999 CAB851999 CJX851999 CTT851999 DDP851999 DNL851999 DXH851999 EHD851999 EQZ851999 FAV851999 FKR851999 FUN851999 GEJ851999 GOF851999 GYB851999 HHX851999 HRT851999 IBP851999 ILL851999 IVH851999 JFD851999 JOZ851999 JYV851999 KIR851999 KSN851999 LCJ851999 LMF851999 LWB851999 MFX851999 MPT851999 MZP851999 NJL851999 NTH851999 ODD851999 OMZ851999 OWV851999 PGR851999 PQN851999 QAJ851999 QKF851999 QUB851999 RDX851999 RNT851999 RXP851999 SHL851999 SRH851999 TBD851999 TKZ851999 TUV851999 UER851999 UON851999 UYJ851999 VIF851999 VSB851999 WBX851999 WLT851999 WVP851999 H917535 JD917535 SZ917535 ACV917535 AMR917535 AWN917535 BGJ917535 BQF917535 CAB917535 CJX917535 CTT917535 DDP917535 DNL917535 DXH917535 EHD917535 EQZ917535 FAV917535 FKR917535 FUN917535 GEJ917535 GOF917535 GYB917535 HHX917535 HRT917535 IBP917535 ILL917535 IVH917535 JFD917535 JOZ917535 JYV917535 KIR917535 KSN917535 LCJ917535 LMF917535 LWB917535 MFX917535 MPT917535 MZP917535 NJL917535 NTH917535 ODD917535 OMZ917535 OWV917535 PGR917535 PQN917535 QAJ917535 QKF917535 QUB917535 RDX917535 RNT917535 RXP917535 SHL917535 SRH917535 TBD917535 TKZ917535 TUV917535 UER917535 UON917535 UYJ917535 VIF917535 VSB917535 WBX917535 WLT917535 WVP917535 H983071 JD983071 SZ983071 ACV983071 AMR983071 AWN983071 BGJ983071 BQF983071 CAB983071 CJX983071 CTT983071 DDP983071 DNL983071 DXH983071 EHD983071 EQZ983071 FAV983071 FKR983071 FUN983071 GEJ983071 GOF983071 GYB983071 HHX983071 HRT983071 IBP983071 ILL983071 IVH983071 JFD983071 JOZ983071 JYV983071 KIR983071 KSN983071 LCJ983071 LMF983071 LWB983071 MFX983071 MPT983071 MZP983071 NJL983071 NTH983071 ODD983071 OMZ983071 OWV983071 PGR983071 PQN983071 QAJ983071 QKF983071 QUB983071 RDX983071 RNT983071 RXP983071 SHL983071 SRH983071 TBD983071 TKZ983071 TUV983071 UER983071 UON983071 UYJ983071 VIF983071 VSB983071 WBX983071 WLT983071 WVP983071" xr:uid="{0BFFF6C8-13D6-4655-BCC4-1AF30D27194D}">
      <formula1>-0.25</formula1>
      <formula2>0.3</formula2>
    </dataValidation>
    <dataValidation type="custom" allowBlank="1" showInputMessage="1" showErrorMessage="1" sqref="G45" xr:uid="{B460C480-E296-4D22-9B31-713FE98F588F}">
      <formula1>G45&lt;=F44</formula1>
    </dataValidation>
  </dataValidations>
  <pageMargins left="0.59055118110236227" right="0.59055118110236227" top="0.59055118110236227" bottom="0.59055118110236227" header="0.31496062992125984" footer="0.51181102362204722"/>
  <pageSetup paperSize="9" scale="10" fitToHeight="2" orientation="portrait" horizontalDpi="4294967295" r:id="rId1"/>
  <headerFooter alignWithMargins="0">
    <oddHeader>&amp;L&amp;"Arial,Grassetto"MOD.12 &amp;"Arial,Normale": PROG_OFF_SSR&amp;RREV.03 - 04.05.2018</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5BEF-AE4D-472E-844C-20002FE6E164}">
  <dimension ref="A1:I916"/>
  <sheetViews>
    <sheetView zoomScaleNormal="100" zoomScaleSheetLayoutView="95" workbookViewId="0">
      <selection activeCell="G3" sqref="G3"/>
    </sheetView>
  </sheetViews>
  <sheetFormatPr defaultColWidth="0" defaultRowHeight="0" customHeight="1" zeroHeight="1" x14ac:dyDescent="0.25"/>
  <cols>
    <col min="1" max="1" width="13.296875" style="134" customWidth="1"/>
    <col min="2" max="2" width="62" style="134" customWidth="1"/>
    <col min="3" max="3" width="12.59765625" style="147" customWidth="1"/>
    <col min="4" max="4" width="20.19921875" style="148" customWidth="1"/>
    <col min="5" max="5" width="7.59765625" style="148" hidden="1" customWidth="1"/>
    <col min="6" max="6" width="12.5" style="148" hidden="1" customWidth="1"/>
    <col min="7" max="7" width="27.09765625" style="148" customWidth="1"/>
    <col min="8" max="8" width="17.09765625" style="152" customWidth="1"/>
    <col min="9" max="9" width="13.19921875" style="134" customWidth="1"/>
    <col min="10" max="16137" width="11" style="134" customWidth="1"/>
    <col min="16138" max="16384" width="0" style="134" hidden="1" customWidth="1"/>
  </cols>
  <sheetData>
    <row r="1" spans="1:9" ht="15.6" customHeight="1" x14ac:dyDescent="0.3">
      <c r="A1" s="204"/>
      <c r="B1" s="205"/>
      <c r="C1" s="205"/>
      <c r="D1" s="205"/>
      <c r="E1" s="205"/>
      <c r="F1" s="205"/>
      <c r="G1" s="207"/>
      <c r="H1" s="208"/>
      <c r="I1" s="209"/>
    </row>
    <row r="2" spans="1:9" ht="14.4" customHeight="1" x14ac:dyDescent="0.3">
      <c r="A2" s="196"/>
      <c r="B2" s="293" t="s">
        <v>110</v>
      </c>
      <c r="C2" s="293"/>
      <c r="D2" s="294"/>
      <c r="E2" s="230"/>
      <c r="F2" s="231"/>
      <c r="G2" s="210" t="s">
        <v>74</v>
      </c>
      <c r="H2" s="281" t="e" vm="1">
        <v>#VALUE!</v>
      </c>
      <c r="I2" s="200"/>
    </row>
    <row r="3" spans="1:9" ht="45.6" customHeight="1" x14ac:dyDescent="0.3">
      <c r="A3" s="196"/>
      <c r="B3" s="293"/>
      <c r="C3" s="293"/>
      <c r="D3" s="294"/>
      <c r="E3" s="201"/>
      <c r="F3" s="232"/>
      <c r="G3" s="7"/>
      <c r="H3" s="281"/>
      <c r="I3" s="200"/>
    </row>
    <row r="4" spans="1:9" ht="15.6" customHeight="1" x14ac:dyDescent="0.3">
      <c r="A4" s="196"/>
      <c r="B4" s="135"/>
      <c r="C4" s="135"/>
      <c r="D4" s="135"/>
      <c r="E4" s="135"/>
      <c r="F4" s="135"/>
      <c r="G4" s="198"/>
      <c r="H4" s="199"/>
      <c r="I4" s="200"/>
    </row>
    <row r="5" spans="1:9" ht="18" customHeight="1" x14ac:dyDescent="0.25">
      <c r="A5" s="126"/>
      <c r="B5" s="186" t="s">
        <v>101</v>
      </c>
      <c r="C5" s="187"/>
      <c r="D5" s="187"/>
      <c r="E5" s="187"/>
      <c r="F5" s="187"/>
      <c r="G5" s="187"/>
      <c r="H5" s="221"/>
      <c r="I5" s="133"/>
    </row>
    <row r="6" spans="1:9" ht="18" customHeight="1" x14ac:dyDescent="0.3">
      <c r="A6" s="126"/>
      <c r="B6" s="214" t="s">
        <v>128</v>
      </c>
      <c r="C6" s="183"/>
      <c r="D6" s="229"/>
      <c r="E6" s="229"/>
      <c r="F6" s="185">
        <v>10062</v>
      </c>
      <c r="G6" s="218">
        <v>1</v>
      </c>
      <c r="H6" s="181">
        <f>F6*G6</f>
        <v>10062</v>
      </c>
      <c r="I6" s="133"/>
    </row>
    <row r="7" spans="1:9" ht="18" customHeight="1" x14ac:dyDescent="0.3">
      <c r="A7" s="126"/>
      <c r="B7" s="186" t="s">
        <v>97</v>
      </c>
      <c r="C7" s="187"/>
      <c r="D7" s="188"/>
      <c r="E7" s="188"/>
      <c r="F7" s="216"/>
      <c r="G7" s="187"/>
      <c r="H7" s="221"/>
      <c r="I7" s="133"/>
    </row>
    <row r="8" spans="1:9" ht="18" customHeight="1" x14ac:dyDescent="0.3">
      <c r="A8" s="126"/>
      <c r="B8" s="214" t="s">
        <v>78</v>
      </c>
      <c r="C8" s="183"/>
      <c r="D8" s="184" t="s">
        <v>72</v>
      </c>
      <c r="E8" s="184"/>
      <c r="F8" s="185">
        <v>78</v>
      </c>
      <c r="G8" s="5"/>
      <c r="H8" s="181">
        <f t="shared" ref="H8:H30" si="0">F8*G8</f>
        <v>0</v>
      </c>
      <c r="I8" s="133"/>
    </row>
    <row r="9" spans="1:9" ht="18" customHeight="1" x14ac:dyDescent="0.3">
      <c r="A9" s="126"/>
      <c r="B9" s="214" t="s">
        <v>79</v>
      </c>
      <c r="C9" s="183"/>
      <c r="D9" s="184" t="s">
        <v>71</v>
      </c>
      <c r="E9" s="184"/>
      <c r="F9" s="185">
        <v>234</v>
      </c>
      <c r="G9" s="6"/>
      <c r="H9" s="181">
        <f t="shared" si="0"/>
        <v>0</v>
      </c>
      <c r="I9" s="133"/>
    </row>
    <row r="10" spans="1:9" ht="18" customHeight="1" x14ac:dyDescent="0.3">
      <c r="A10" s="126"/>
      <c r="B10" s="214" t="s">
        <v>225</v>
      </c>
      <c r="C10" s="183"/>
      <c r="D10" s="184" t="s">
        <v>72</v>
      </c>
      <c r="E10" s="184"/>
      <c r="F10" s="185">
        <v>31.200000000000003</v>
      </c>
      <c r="G10" s="5"/>
      <c r="H10" s="181">
        <f t="shared" si="0"/>
        <v>0</v>
      </c>
      <c r="I10" s="133"/>
    </row>
    <row r="11" spans="1:9" ht="18" customHeight="1" x14ac:dyDescent="0.3">
      <c r="A11" s="126"/>
      <c r="B11" s="214" t="s">
        <v>226</v>
      </c>
      <c r="C11" s="183"/>
      <c r="D11" s="184" t="s">
        <v>71</v>
      </c>
      <c r="E11" s="184"/>
      <c r="F11" s="185">
        <v>93.600000000000009</v>
      </c>
      <c r="G11" s="6"/>
      <c r="H11" s="181">
        <f t="shared" si="0"/>
        <v>0</v>
      </c>
      <c r="I11" s="133"/>
    </row>
    <row r="12" spans="1:9" ht="18" customHeight="1" x14ac:dyDescent="0.3">
      <c r="A12" s="126"/>
      <c r="B12" s="214" t="s">
        <v>80</v>
      </c>
      <c r="C12" s="183"/>
      <c r="D12" s="184" t="s">
        <v>72</v>
      </c>
      <c r="E12" s="184"/>
      <c r="F12" s="185">
        <v>124.80000000000001</v>
      </c>
      <c r="G12" s="5"/>
      <c r="H12" s="181">
        <f t="shared" si="0"/>
        <v>0</v>
      </c>
      <c r="I12" s="133"/>
    </row>
    <row r="13" spans="1:9" ht="18" customHeight="1" x14ac:dyDescent="0.3">
      <c r="A13" s="126"/>
      <c r="B13" s="214" t="s">
        <v>94</v>
      </c>
      <c r="C13" s="183"/>
      <c r="D13" s="184" t="s">
        <v>72</v>
      </c>
      <c r="E13" s="184"/>
      <c r="F13" s="185">
        <v>702</v>
      </c>
      <c r="G13" s="5"/>
      <c r="H13" s="181">
        <f t="shared" si="0"/>
        <v>0</v>
      </c>
      <c r="I13" s="133"/>
    </row>
    <row r="14" spans="1:9" ht="18" customHeight="1" x14ac:dyDescent="0.3">
      <c r="A14" s="126"/>
      <c r="B14" s="214" t="s">
        <v>95</v>
      </c>
      <c r="C14" s="183"/>
      <c r="D14" s="184" t="s">
        <v>72</v>
      </c>
      <c r="E14" s="184"/>
      <c r="F14" s="185">
        <v>904.80000000000007</v>
      </c>
      <c r="G14" s="6"/>
      <c r="H14" s="181">
        <f t="shared" si="0"/>
        <v>0</v>
      </c>
      <c r="I14" s="133"/>
    </row>
    <row r="15" spans="1:9" ht="18" customHeight="1" x14ac:dyDescent="0.3">
      <c r="A15" s="126"/>
      <c r="B15" s="214" t="s">
        <v>124</v>
      </c>
      <c r="C15" s="183"/>
      <c r="D15" s="184" t="s">
        <v>72</v>
      </c>
      <c r="E15" s="184"/>
      <c r="F15" s="185">
        <v>78</v>
      </c>
      <c r="G15" s="5"/>
      <c r="H15" s="181">
        <f t="shared" si="0"/>
        <v>0</v>
      </c>
      <c r="I15" s="133"/>
    </row>
    <row r="16" spans="1:9" ht="18" customHeight="1" x14ac:dyDescent="0.3">
      <c r="A16" s="126"/>
      <c r="B16" s="186" t="s">
        <v>98</v>
      </c>
      <c r="C16" s="187"/>
      <c r="D16" s="188"/>
      <c r="E16" s="188"/>
      <c r="F16" s="216"/>
      <c r="G16" s="187"/>
      <c r="H16" s="221"/>
      <c r="I16" s="133"/>
    </row>
    <row r="17" spans="1:9" ht="18" customHeight="1" x14ac:dyDescent="0.3">
      <c r="A17" s="126"/>
      <c r="B17" s="214" t="s">
        <v>81</v>
      </c>
      <c r="C17" s="183"/>
      <c r="D17" s="306"/>
      <c r="E17" s="184"/>
      <c r="F17" s="185">
        <v>468</v>
      </c>
      <c r="G17" s="4"/>
      <c r="H17" s="181">
        <f t="shared" si="0"/>
        <v>0</v>
      </c>
      <c r="I17" s="133"/>
    </row>
    <row r="18" spans="1:9" ht="18" customHeight="1" x14ac:dyDescent="0.3">
      <c r="A18" s="126"/>
      <c r="B18" s="214" t="s">
        <v>91</v>
      </c>
      <c r="C18" s="183"/>
      <c r="D18" s="306"/>
      <c r="E18" s="184"/>
      <c r="F18" s="185">
        <v>780</v>
      </c>
      <c r="G18" s="4"/>
      <c r="H18" s="181">
        <f t="shared" si="0"/>
        <v>0</v>
      </c>
      <c r="I18" s="133"/>
    </row>
    <row r="19" spans="1:9" ht="18" customHeight="1" x14ac:dyDescent="0.3">
      <c r="A19" s="126"/>
      <c r="B19" s="214" t="s">
        <v>82</v>
      </c>
      <c r="C19" s="183"/>
      <c r="D19" s="307" t="s">
        <v>222</v>
      </c>
      <c r="E19" s="184"/>
      <c r="F19" s="185">
        <v>234</v>
      </c>
      <c r="G19" s="4"/>
      <c r="H19" s="181">
        <f t="shared" si="0"/>
        <v>0</v>
      </c>
      <c r="I19" s="133"/>
    </row>
    <row r="20" spans="1:9" ht="18" customHeight="1" x14ac:dyDescent="0.3">
      <c r="A20" s="126"/>
      <c r="B20" s="214" t="s">
        <v>83</v>
      </c>
      <c r="C20" s="183"/>
      <c r="D20" s="307" t="s">
        <v>222</v>
      </c>
      <c r="E20" s="184"/>
      <c r="F20" s="185">
        <v>312</v>
      </c>
      <c r="G20" s="4"/>
      <c r="H20" s="181">
        <f t="shared" si="0"/>
        <v>0</v>
      </c>
      <c r="I20" s="133"/>
    </row>
    <row r="21" spans="1:9" ht="18" customHeight="1" x14ac:dyDescent="0.3">
      <c r="A21" s="126"/>
      <c r="B21" s="214" t="s">
        <v>84</v>
      </c>
      <c r="C21" s="227"/>
      <c r="D21" s="307" t="s">
        <v>222</v>
      </c>
      <c r="E21" s="184"/>
      <c r="F21" s="226">
        <v>702</v>
      </c>
      <c r="G21" s="4"/>
      <c r="H21" s="181">
        <f t="shared" si="0"/>
        <v>0</v>
      </c>
      <c r="I21" s="133"/>
    </row>
    <row r="22" spans="1:9" ht="18" customHeight="1" x14ac:dyDescent="0.3">
      <c r="A22" s="126"/>
      <c r="B22" s="214" t="s">
        <v>221</v>
      </c>
      <c r="C22" s="227"/>
      <c r="D22" s="307" t="s">
        <v>223</v>
      </c>
      <c r="E22" s="184"/>
      <c r="F22" s="185">
        <v>0</v>
      </c>
      <c r="G22" s="4"/>
      <c r="H22" s="181">
        <f t="shared" si="0"/>
        <v>0</v>
      </c>
      <c r="I22" s="133"/>
    </row>
    <row r="23" spans="1:9" ht="18" customHeight="1" x14ac:dyDescent="0.3">
      <c r="A23" s="126"/>
      <c r="B23" s="214" t="s">
        <v>218</v>
      </c>
      <c r="C23" s="228"/>
      <c r="D23" s="307" t="s">
        <v>223</v>
      </c>
      <c r="E23" s="184"/>
      <c r="F23" s="185">
        <v>0</v>
      </c>
      <c r="G23" s="4"/>
      <c r="H23" s="181">
        <f t="shared" si="0"/>
        <v>0</v>
      </c>
      <c r="I23" s="133"/>
    </row>
    <row r="24" spans="1:9" ht="18" customHeight="1" x14ac:dyDescent="0.3">
      <c r="A24" s="126"/>
      <c r="B24" s="214" t="s">
        <v>227</v>
      </c>
      <c r="C24" s="228"/>
      <c r="D24" s="307" t="s">
        <v>223</v>
      </c>
      <c r="E24" s="184"/>
      <c r="F24" s="185">
        <v>0</v>
      </c>
      <c r="G24" s="4"/>
      <c r="H24" s="181">
        <f t="shared" si="0"/>
        <v>0</v>
      </c>
      <c r="I24" s="133"/>
    </row>
    <row r="25" spans="1:9" ht="18" customHeight="1" x14ac:dyDescent="0.3">
      <c r="A25" s="126"/>
      <c r="B25" s="214" t="s">
        <v>127</v>
      </c>
      <c r="C25" s="183"/>
      <c r="D25" s="306" t="s">
        <v>224</v>
      </c>
      <c r="E25" s="184"/>
      <c r="F25" s="185">
        <v>780</v>
      </c>
      <c r="G25" s="4"/>
      <c r="H25" s="181">
        <f t="shared" si="0"/>
        <v>0</v>
      </c>
      <c r="I25" s="133"/>
    </row>
    <row r="26" spans="1:9" ht="18" customHeight="1" x14ac:dyDescent="0.3">
      <c r="A26" s="126"/>
      <c r="B26" s="214" t="s">
        <v>85</v>
      </c>
      <c r="C26" s="183"/>
      <c r="D26" s="306"/>
      <c r="E26" s="184"/>
      <c r="F26" s="185">
        <v>390</v>
      </c>
      <c r="G26" s="4"/>
      <c r="H26" s="181">
        <f t="shared" si="0"/>
        <v>0</v>
      </c>
      <c r="I26" s="133"/>
    </row>
    <row r="27" spans="1:9" ht="18" customHeight="1" x14ac:dyDescent="0.3">
      <c r="A27" s="126"/>
      <c r="B27" s="214" t="s">
        <v>86</v>
      </c>
      <c r="C27" s="183"/>
      <c r="D27" s="306"/>
      <c r="E27" s="184"/>
      <c r="F27" s="185">
        <v>156</v>
      </c>
      <c r="G27" s="4"/>
      <c r="H27" s="181">
        <f t="shared" si="0"/>
        <v>0</v>
      </c>
      <c r="I27" s="133"/>
    </row>
    <row r="28" spans="1:9" ht="18" customHeight="1" x14ac:dyDescent="0.3">
      <c r="A28" s="126"/>
      <c r="B28" s="214" t="s">
        <v>87</v>
      </c>
      <c r="C28" s="183"/>
      <c r="D28" s="306"/>
      <c r="E28" s="184"/>
      <c r="F28" s="185">
        <v>390</v>
      </c>
      <c r="G28" s="4"/>
      <c r="H28" s="181">
        <f t="shared" si="0"/>
        <v>0</v>
      </c>
      <c r="I28" s="133"/>
    </row>
    <row r="29" spans="1:9" ht="18" customHeight="1" x14ac:dyDescent="0.3">
      <c r="A29" s="126"/>
      <c r="B29" s="224" t="s">
        <v>88</v>
      </c>
      <c r="C29" s="225"/>
      <c r="D29" s="306"/>
      <c r="E29" s="184"/>
      <c r="F29" s="185">
        <v>390</v>
      </c>
      <c r="G29" s="4"/>
      <c r="H29" s="181">
        <f t="shared" si="0"/>
        <v>0</v>
      </c>
      <c r="I29" s="133"/>
    </row>
    <row r="30" spans="1:9" ht="18" customHeight="1" x14ac:dyDescent="0.3">
      <c r="A30" s="126"/>
      <c r="B30" s="224" t="s">
        <v>89</v>
      </c>
      <c r="C30" s="225"/>
      <c r="D30" s="306"/>
      <c r="E30" s="184"/>
      <c r="F30" s="226">
        <v>390</v>
      </c>
      <c r="G30" s="4"/>
      <c r="H30" s="181">
        <f t="shared" si="0"/>
        <v>0</v>
      </c>
      <c r="I30" s="133"/>
    </row>
    <row r="31" spans="1:9" ht="18" customHeight="1" x14ac:dyDescent="0.25">
      <c r="A31" s="126"/>
      <c r="B31" s="186" t="s">
        <v>117</v>
      </c>
      <c r="C31" s="187"/>
      <c r="D31" s="188"/>
      <c r="E31" s="188"/>
      <c r="F31" s="223"/>
      <c r="G31" s="187"/>
      <c r="H31" s="190"/>
      <c r="I31" s="133"/>
    </row>
    <row r="32" spans="1:9" ht="18" customHeight="1" x14ac:dyDescent="0.3">
      <c r="A32" s="126"/>
      <c r="B32" s="182" t="s">
        <v>119</v>
      </c>
      <c r="C32" s="183"/>
      <c r="D32" s="184"/>
      <c r="E32" s="184"/>
      <c r="F32" s="222">
        <v>1000</v>
      </c>
      <c r="G32" s="4"/>
      <c r="H32" s="181">
        <f>F32*G32</f>
        <v>0</v>
      </c>
      <c r="I32" s="133"/>
    </row>
    <row r="33" spans="1:9" ht="18" customHeight="1" x14ac:dyDescent="0.3">
      <c r="A33" s="126"/>
      <c r="B33" s="186" t="s">
        <v>99</v>
      </c>
      <c r="C33" s="187"/>
      <c r="D33" s="188"/>
      <c r="E33" s="188"/>
      <c r="F33" s="216"/>
      <c r="G33" s="187"/>
      <c r="H33" s="190"/>
      <c r="I33" s="133"/>
    </row>
    <row r="34" spans="1:9" ht="18" customHeight="1" x14ac:dyDescent="0.3">
      <c r="A34" s="126"/>
      <c r="B34" s="182" t="s">
        <v>205</v>
      </c>
      <c r="C34" s="183"/>
      <c r="D34" s="184"/>
      <c r="E34" s="184"/>
      <c r="F34" s="217">
        <v>400</v>
      </c>
      <c r="G34" s="218">
        <v>1</v>
      </c>
      <c r="H34" s="181">
        <v>0</v>
      </c>
      <c r="I34" s="133"/>
    </row>
    <row r="35" spans="1:9" ht="18" customHeight="1" x14ac:dyDescent="0.3">
      <c r="A35" s="126"/>
      <c r="B35" s="182" t="s">
        <v>206</v>
      </c>
      <c r="C35" s="183"/>
      <c r="D35" s="184"/>
      <c r="E35" s="184"/>
      <c r="F35" s="219">
        <v>80</v>
      </c>
      <c r="G35" s="218">
        <v>1</v>
      </c>
      <c r="H35" s="181">
        <v>0</v>
      </c>
      <c r="I35" s="133"/>
    </row>
    <row r="36" spans="1:9" ht="18" customHeight="1" x14ac:dyDescent="0.3">
      <c r="A36" s="126"/>
      <c r="B36" s="186" t="s">
        <v>100</v>
      </c>
      <c r="C36" s="187"/>
      <c r="D36" s="188"/>
      <c r="E36" s="188"/>
      <c r="F36" s="220"/>
      <c r="G36" s="187"/>
      <c r="H36" s="221"/>
      <c r="I36" s="133"/>
    </row>
    <row r="37" spans="1:9" ht="18" customHeight="1" x14ac:dyDescent="0.3">
      <c r="A37" s="126"/>
      <c r="B37" s="182" t="s">
        <v>207</v>
      </c>
      <c r="C37" s="183"/>
      <c r="D37" s="184"/>
      <c r="E37" s="184"/>
      <c r="F37" s="185">
        <v>1000</v>
      </c>
      <c r="G37" s="218">
        <v>1</v>
      </c>
      <c r="H37" s="181">
        <v>0</v>
      </c>
      <c r="I37" s="133"/>
    </row>
    <row r="38" spans="1:9" ht="18" customHeight="1" x14ac:dyDescent="0.3">
      <c r="A38" s="126"/>
      <c r="B38" s="182" t="s">
        <v>92</v>
      </c>
      <c r="C38" s="183"/>
      <c r="D38" s="184" t="s">
        <v>72</v>
      </c>
      <c r="E38" s="184"/>
      <c r="F38" s="185">
        <v>30</v>
      </c>
      <c r="G38" s="4"/>
      <c r="H38" s="181">
        <f>F38*G38</f>
        <v>0</v>
      </c>
      <c r="I38" s="133"/>
    </row>
    <row r="39" spans="1:9" ht="18" customHeight="1" x14ac:dyDescent="0.3">
      <c r="A39" s="126"/>
      <c r="B39" s="182" t="s">
        <v>93</v>
      </c>
      <c r="C39" s="183"/>
      <c r="D39" s="184" t="s">
        <v>72</v>
      </c>
      <c r="E39" s="184"/>
      <c r="F39" s="185">
        <v>100</v>
      </c>
      <c r="G39" s="6"/>
      <c r="H39" s="181">
        <f t="shared" ref="H39:H43" si="1">F39*G39</f>
        <v>0</v>
      </c>
      <c r="I39" s="133"/>
    </row>
    <row r="40" spans="1:9" ht="18" customHeight="1" x14ac:dyDescent="0.3">
      <c r="A40" s="126"/>
      <c r="B40" s="182" t="s">
        <v>123</v>
      </c>
      <c r="C40" s="183"/>
      <c r="D40" s="184" t="s">
        <v>72</v>
      </c>
      <c r="E40" s="184"/>
      <c r="F40" s="185">
        <v>60</v>
      </c>
      <c r="G40" s="4"/>
      <c r="H40" s="181">
        <f t="shared" si="1"/>
        <v>0</v>
      </c>
      <c r="I40" s="133"/>
    </row>
    <row r="41" spans="1:9" ht="18" customHeight="1" x14ac:dyDescent="0.3">
      <c r="A41" s="126"/>
      <c r="B41" s="214" t="s">
        <v>122</v>
      </c>
      <c r="C41" s="183"/>
      <c r="D41" s="184" t="s">
        <v>72</v>
      </c>
      <c r="E41" s="184"/>
      <c r="F41" s="185">
        <v>50</v>
      </c>
      <c r="G41" s="4"/>
      <c r="H41" s="181">
        <f t="shared" si="1"/>
        <v>0</v>
      </c>
      <c r="I41" s="133"/>
    </row>
    <row r="42" spans="1:9" ht="18" customHeight="1" x14ac:dyDescent="0.3">
      <c r="A42" s="126"/>
      <c r="B42" s="182" t="s">
        <v>126</v>
      </c>
      <c r="C42" s="183"/>
      <c r="D42" s="184"/>
      <c r="E42" s="184"/>
      <c r="F42" s="185">
        <v>300</v>
      </c>
      <c r="G42" s="4"/>
      <c r="H42" s="181">
        <f t="shared" si="1"/>
        <v>0</v>
      </c>
      <c r="I42" s="133"/>
    </row>
    <row r="43" spans="1:9" ht="18" customHeight="1" x14ac:dyDescent="0.3">
      <c r="A43" s="126"/>
      <c r="B43" s="214" t="s">
        <v>121</v>
      </c>
      <c r="C43" s="183"/>
      <c r="D43" s="184"/>
      <c r="E43" s="184"/>
      <c r="F43" s="215">
        <v>150</v>
      </c>
      <c r="G43" s="4"/>
      <c r="H43" s="181">
        <f t="shared" si="1"/>
        <v>0</v>
      </c>
      <c r="I43" s="133"/>
    </row>
    <row r="44" spans="1:9" ht="18" customHeight="1" x14ac:dyDescent="0.25">
      <c r="A44" s="126"/>
      <c r="B44" s="172"/>
      <c r="C44" s="173"/>
      <c r="D44" s="174"/>
      <c r="E44" s="174"/>
      <c r="F44" s="213"/>
      <c r="G44" s="173"/>
      <c r="H44" s="176"/>
      <c r="I44" s="133"/>
    </row>
    <row r="45" spans="1:9" ht="18" customHeight="1" x14ac:dyDescent="0.3">
      <c r="A45" s="126"/>
      <c r="B45" s="168" t="s">
        <v>120</v>
      </c>
      <c r="C45" s="169"/>
      <c r="D45" s="177"/>
      <c r="E45" s="177"/>
      <c r="F45" s="215">
        <f>G45*0.05*(SUM(H6:H32)+SUM(H38:H43)+F34+F35+F37)</f>
        <v>0</v>
      </c>
      <c r="G45" s="4"/>
      <c r="H45" s="167">
        <v>0</v>
      </c>
      <c r="I45" s="133"/>
    </row>
    <row r="46" spans="1:9" ht="15.6" customHeight="1" x14ac:dyDescent="0.25">
      <c r="A46" s="126"/>
      <c r="B46" s="155"/>
      <c r="C46" s="156"/>
      <c r="D46" s="157"/>
      <c r="E46" s="157"/>
      <c r="F46" s="157"/>
      <c r="G46" s="157"/>
      <c r="H46" s="159"/>
      <c r="I46" s="133"/>
    </row>
    <row r="47" spans="1:9" ht="30.6" customHeight="1" x14ac:dyDescent="0.25">
      <c r="A47" s="126"/>
      <c r="B47" s="155"/>
      <c r="C47" s="285" t="s">
        <v>115</v>
      </c>
      <c r="D47" s="286"/>
      <c r="E47" s="286"/>
      <c r="F47" s="287"/>
      <c r="G47" s="160">
        <f>SUM(H6:H32)+SUM(H38:H43)+F34+F35+F37+F45</f>
        <v>11542</v>
      </c>
      <c r="H47" s="132"/>
      <c r="I47" s="133"/>
    </row>
    <row r="48" spans="1:9" ht="6" customHeight="1" x14ac:dyDescent="0.25">
      <c r="A48" s="126"/>
      <c r="B48" s="155"/>
      <c r="C48" s="162"/>
      <c r="D48" s="163"/>
      <c r="E48" s="163"/>
      <c r="F48" s="163"/>
      <c r="G48" s="164"/>
      <c r="H48" s="132"/>
      <c r="I48" s="133"/>
    </row>
    <row r="49" spans="1:9" ht="22.8" customHeight="1" x14ac:dyDescent="0.35">
      <c r="A49" s="126"/>
      <c r="B49" s="155"/>
      <c r="C49" s="288" t="s">
        <v>114</v>
      </c>
      <c r="D49" s="289"/>
      <c r="E49" s="165"/>
      <c r="F49" s="275">
        <v>0.15</v>
      </c>
      <c r="G49" s="166">
        <f>-(G47*G50)</f>
        <v>0</v>
      </c>
      <c r="H49" s="272" t="str">
        <f>IF(G50&gt;15%,"ATTENZIONE!","")</f>
        <v/>
      </c>
      <c r="I49" s="133"/>
    </row>
    <row r="50" spans="1:9" ht="24.6" customHeight="1" x14ac:dyDescent="0.25">
      <c r="A50" s="126"/>
      <c r="B50" s="155"/>
      <c r="C50" s="153"/>
      <c r="D50" s="154"/>
      <c r="E50" s="154"/>
      <c r="F50" s="128"/>
      <c r="G50" s="10">
        <v>0</v>
      </c>
      <c r="H50" s="271" t="str">
        <f>IF(G50&gt;15%,"SUPERATO LO SCONTO MASSIMO","")</f>
        <v/>
      </c>
      <c r="I50" s="133"/>
    </row>
    <row r="51" spans="1:9" ht="6" customHeight="1" x14ac:dyDescent="0.3">
      <c r="A51" s="126"/>
      <c r="B51" s="135"/>
      <c r="C51" s="128"/>
      <c r="D51" s="129"/>
      <c r="E51" s="129"/>
      <c r="F51" s="130"/>
      <c r="G51" s="131"/>
      <c r="H51" s="132"/>
      <c r="I51" s="133"/>
    </row>
    <row r="52" spans="1:9" ht="38.4" customHeight="1" x14ac:dyDescent="0.3">
      <c r="A52" s="126"/>
      <c r="B52" s="135"/>
      <c r="C52" s="290" t="s">
        <v>204</v>
      </c>
      <c r="D52" s="291"/>
      <c r="E52" s="291"/>
      <c r="F52" s="292"/>
      <c r="G52" s="136">
        <f>G47*(1-G50)</f>
        <v>11542</v>
      </c>
      <c r="H52" s="137" t="str">
        <f>"+ IVA 4% = "&amp;G52*1.04</f>
        <v>+ IVA 4% = 12003,68</v>
      </c>
      <c r="I52" s="138"/>
    </row>
    <row r="53" spans="1:9" ht="15.6" x14ac:dyDescent="0.3">
      <c r="A53" s="126"/>
      <c r="B53" s="211"/>
      <c r="C53" s="211"/>
      <c r="D53" s="211"/>
      <c r="E53" s="211"/>
      <c r="F53" s="211"/>
      <c r="G53" s="211"/>
      <c r="H53" s="212"/>
      <c r="I53" s="133"/>
    </row>
    <row r="54" spans="1:9" ht="13.2" x14ac:dyDescent="0.25">
      <c r="A54" s="140"/>
      <c r="B54" s="141"/>
      <c r="C54" s="142"/>
      <c r="D54" s="143"/>
      <c r="E54" s="143"/>
      <c r="F54" s="143"/>
      <c r="G54" s="143"/>
      <c r="H54" s="145"/>
      <c r="I54" s="146"/>
    </row>
    <row r="55" spans="1:9" ht="13.2" x14ac:dyDescent="0.25">
      <c r="H55" s="150"/>
    </row>
    <row r="56" spans="1:9" ht="13.2" x14ac:dyDescent="0.25">
      <c r="C56" s="134"/>
      <c r="D56" s="134"/>
      <c r="E56" s="134"/>
      <c r="F56" s="134"/>
      <c r="G56" s="134"/>
    </row>
    <row r="57" spans="1:9" ht="13.2" x14ac:dyDescent="0.25">
      <c r="C57" s="134"/>
      <c r="D57" s="134"/>
      <c r="E57" s="134"/>
      <c r="F57" s="134"/>
      <c r="G57" s="134"/>
    </row>
    <row r="58" spans="1:9" ht="13.2" x14ac:dyDescent="0.25">
      <c r="C58" s="134"/>
      <c r="D58" s="134"/>
      <c r="E58" s="134"/>
      <c r="F58" s="134"/>
      <c r="G58" s="134"/>
    </row>
    <row r="59" spans="1:9" ht="13.2" x14ac:dyDescent="0.25">
      <c r="C59" s="134"/>
      <c r="D59" s="134"/>
      <c r="E59" s="134"/>
      <c r="F59" s="134"/>
      <c r="G59" s="134"/>
    </row>
    <row r="60" spans="1:9" ht="13.2" x14ac:dyDescent="0.25">
      <c r="C60" s="134"/>
      <c r="D60" s="134"/>
      <c r="E60" s="134"/>
      <c r="F60" s="134"/>
      <c r="G60" s="134"/>
    </row>
    <row r="61" spans="1:9" ht="13.2" x14ac:dyDescent="0.25">
      <c r="H61" s="150"/>
    </row>
    <row r="62" spans="1:9" ht="13.2" x14ac:dyDescent="0.25">
      <c r="H62" s="150"/>
    </row>
    <row r="63" spans="1:9" ht="13.2" x14ac:dyDescent="0.25">
      <c r="H63" s="150"/>
    </row>
    <row r="64" spans="1:9" ht="13.2" x14ac:dyDescent="0.25">
      <c r="H64" s="150"/>
    </row>
    <row r="65" spans="8:8" ht="13.2" x14ac:dyDescent="0.25">
      <c r="H65" s="150"/>
    </row>
    <row r="66" spans="8:8" ht="13.2" x14ac:dyDescent="0.25">
      <c r="H66" s="150"/>
    </row>
    <row r="67" spans="8:8" ht="13.2" x14ac:dyDescent="0.25">
      <c r="H67" s="150"/>
    </row>
    <row r="68" spans="8:8" ht="13.2" x14ac:dyDescent="0.25">
      <c r="H68" s="150"/>
    </row>
    <row r="69" spans="8:8" ht="13.2" x14ac:dyDescent="0.25">
      <c r="H69" s="150"/>
    </row>
    <row r="70" spans="8:8" ht="13.2" x14ac:dyDescent="0.25">
      <c r="H70" s="150"/>
    </row>
    <row r="71" spans="8:8" ht="13.2" x14ac:dyDescent="0.25">
      <c r="H71" s="150"/>
    </row>
    <row r="72" spans="8:8" ht="13.2" x14ac:dyDescent="0.25">
      <c r="H72" s="150"/>
    </row>
    <row r="73" spans="8:8" ht="13.2" x14ac:dyDescent="0.25">
      <c r="H73" s="150"/>
    </row>
    <row r="74" spans="8:8" ht="13.2" x14ac:dyDescent="0.25">
      <c r="H74" s="150"/>
    </row>
    <row r="75" spans="8:8" ht="13.2" x14ac:dyDescent="0.25">
      <c r="H75" s="150"/>
    </row>
    <row r="76" spans="8:8" ht="13.2" x14ac:dyDescent="0.25">
      <c r="H76" s="150"/>
    </row>
    <row r="77" spans="8:8" ht="13.2" x14ac:dyDescent="0.25">
      <c r="H77" s="150"/>
    </row>
    <row r="78" spans="8:8" ht="13.2" x14ac:dyDescent="0.25">
      <c r="H78" s="150"/>
    </row>
    <row r="79" spans="8:8" ht="13.2" x14ac:dyDescent="0.25">
      <c r="H79" s="150"/>
    </row>
    <row r="80" spans="8:8" ht="13.2" x14ac:dyDescent="0.25">
      <c r="H80" s="150"/>
    </row>
    <row r="81" spans="8:8" ht="13.2" x14ac:dyDescent="0.25">
      <c r="H81" s="150"/>
    </row>
    <row r="82" spans="8:8" ht="13.2" x14ac:dyDescent="0.25">
      <c r="H82" s="150"/>
    </row>
    <row r="83" spans="8:8" ht="13.2" x14ac:dyDescent="0.25">
      <c r="H83" s="150"/>
    </row>
    <row r="84" spans="8:8" ht="13.2" x14ac:dyDescent="0.25">
      <c r="H84" s="150"/>
    </row>
    <row r="85" spans="8:8" ht="13.2" x14ac:dyDescent="0.25">
      <c r="H85" s="150"/>
    </row>
    <row r="86" spans="8:8" ht="13.2" x14ac:dyDescent="0.25">
      <c r="H86" s="150"/>
    </row>
    <row r="87" spans="8:8" ht="13.2" x14ac:dyDescent="0.25">
      <c r="H87" s="150"/>
    </row>
    <row r="88" spans="8:8" ht="13.2" x14ac:dyDescent="0.25">
      <c r="H88" s="150"/>
    </row>
    <row r="89" spans="8:8" ht="13.2" x14ac:dyDescent="0.25">
      <c r="H89" s="150"/>
    </row>
    <row r="90" spans="8:8" ht="13.2" x14ac:dyDescent="0.25">
      <c r="H90" s="150"/>
    </row>
    <row r="91" spans="8:8" ht="13.2" x14ac:dyDescent="0.25">
      <c r="H91" s="150"/>
    </row>
    <row r="92" spans="8:8" ht="13.2" x14ac:dyDescent="0.25">
      <c r="H92" s="150"/>
    </row>
    <row r="93" spans="8:8" ht="13.2" x14ac:dyDescent="0.25">
      <c r="H93" s="150"/>
    </row>
    <row r="94" spans="8:8" ht="13.2" x14ac:dyDescent="0.25">
      <c r="H94" s="150"/>
    </row>
    <row r="95" spans="8:8" ht="13.2" x14ac:dyDescent="0.25">
      <c r="H95" s="150"/>
    </row>
    <row r="96" spans="8:8" ht="13.2" x14ac:dyDescent="0.25">
      <c r="H96" s="150"/>
    </row>
    <row r="97" spans="8:8" ht="13.2" x14ac:dyDescent="0.25">
      <c r="H97" s="150"/>
    </row>
    <row r="98" spans="8:8" ht="13.2" x14ac:dyDescent="0.25">
      <c r="H98" s="150"/>
    </row>
    <row r="99" spans="8:8" ht="13.2" x14ac:dyDescent="0.25">
      <c r="H99" s="150"/>
    </row>
    <row r="100" spans="8:8" ht="13.2" x14ac:dyDescent="0.25">
      <c r="H100" s="150"/>
    </row>
    <row r="101" spans="8:8" ht="13.2" x14ac:dyDescent="0.25">
      <c r="H101" s="150"/>
    </row>
    <row r="102" spans="8:8" ht="13.2" x14ac:dyDescent="0.25">
      <c r="H102" s="150"/>
    </row>
    <row r="103" spans="8:8" ht="13.2" x14ac:dyDescent="0.25">
      <c r="H103" s="150"/>
    </row>
    <row r="104" spans="8:8" ht="13.2" x14ac:dyDescent="0.25">
      <c r="H104" s="150"/>
    </row>
    <row r="105" spans="8:8" ht="13.2" x14ac:dyDescent="0.25">
      <c r="H105" s="150"/>
    </row>
    <row r="106" spans="8:8" ht="13.2" x14ac:dyDescent="0.25">
      <c r="H106" s="150"/>
    </row>
    <row r="107" spans="8:8" ht="13.2" x14ac:dyDescent="0.25">
      <c r="H107" s="150"/>
    </row>
    <row r="108" spans="8:8" ht="13.2" x14ac:dyDescent="0.25">
      <c r="H108" s="150"/>
    </row>
    <row r="109" spans="8:8" ht="13.2" x14ac:dyDescent="0.25">
      <c r="H109" s="150"/>
    </row>
    <row r="110" spans="8:8" ht="13.2" x14ac:dyDescent="0.25">
      <c r="H110" s="150"/>
    </row>
    <row r="111" spans="8:8" ht="13.2" x14ac:dyDescent="0.25">
      <c r="H111" s="150"/>
    </row>
    <row r="112" spans="8:8" ht="13.2" x14ac:dyDescent="0.25">
      <c r="H112" s="150"/>
    </row>
    <row r="113" spans="8:8" ht="13.2" x14ac:dyDescent="0.25">
      <c r="H113" s="150"/>
    </row>
    <row r="114" spans="8:8" ht="13.2" x14ac:dyDescent="0.25">
      <c r="H114" s="150"/>
    </row>
    <row r="115" spans="8:8" ht="13.2" x14ac:dyDescent="0.25">
      <c r="H115" s="150"/>
    </row>
    <row r="116" spans="8:8" ht="13.2" x14ac:dyDescent="0.25">
      <c r="H116" s="150"/>
    </row>
    <row r="117" spans="8:8" ht="13.2" x14ac:dyDescent="0.25">
      <c r="H117" s="150"/>
    </row>
    <row r="118" spans="8:8" ht="13.2" x14ac:dyDescent="0.25">
      <c r="H118" s="150"/>
    </row>
    <row r="119" spans="8:8" ht="13.2" x14ac:dyDescent="0.25">
      <c r="H119" s="150"/>
    </row>
    <row r="120" spans="8:8" ht="13.2" x14ac:dyDescent="0.25">
      <c r="H120" s="150"/>
    </row>
    <row r="121" spans="8:8" ht="13.2" x14ac:dyDescent="0.25">
      <c r="H121" s="150"/>
    </row>
    <row r="122" spans="8:8" ht="13.2" x14ac:dyDescent="0.25">
      <c r="H122" s="150"/>
    </row>
    <row r="123" spans="8:8" ht="13.2" x14ac:dyDescent="0.25">
      <c r="H123" s="150"/>
    </row>
    <row r="124" spans="8:8" ht="13.2" x14ac:dyDescent="0.25">
      <c r="H124" s="150"/>
    </row>
    <row r="125" spans="8:8" ht="13.2" x14ac:dyDescent="0.25">
      <c r="H125" s="150"/>
    </row>
    <row r="126" spans="8:8" ht="13.2" x14ac:dyDescent="0.25">
      <c r="H126" s="150"/>
    </row>
    <row r="127" spans="8:8" ht="13.2" x14ac:dyDescent="0.25">
      <c r="H127" s="150"/>
    </row>
    <row r="128" spans="8:8" ht="13.2" x14ac:dyDescent="0.25">
      <c r="H128" s="150"/>
    </row>
    <row r="129" spans="8:8" ht="13.2" x14ac:dyDescent="0.25">
      <c r="H129" s="150"/>
    </row>
    <row r="130" spans="8:8" ht="13.2" x14ac:dyDescent="0.25">
      <c r="H130" s="150"/>
    </row>
    <row r="131" spans="8:8" ht="13.2" x14ac:dyDescent="0.25">
      <c r="H131" s="150"/>
    </row>
    <row r="132" spans="8:8" ht="13.2" x14ac:dyDescent="0.25">
      <c r="H132" s="150"/>
    </row>
    <row r="133" spans="8:8" ht="13.2" x14ac:dyDescent="0.25">
      <c r="H133" s="150"/>
    </row>
    <row r="134" spans="8:8" ht="13.2" x14ac:dyDescent="0.25">
      <c r="H134" s="150"/>
    </row>
    <row r="135" spans="8:8" ht="13.2" x14ac:dyDescent="0.25">
      <c r="H135" s="150"/>
    </row>
    <row r="136" spans="8:8" ht="13.2" x14ac:dyDescent="0.25">
      <c r="H136" s="150"/>
    </row>
    <row r="137" spans="8:8" ht="13.2" x14ac:dyDescent="0.25">
      <c r="H137" s="150"/>
    </row>
    <row r="138" spans="8:8" ht="13.2" x14ac:dyDescent="0.25">
      <c r="H138" s="150"/>
    </row>
    <row r="139" spans="8:8" ht="13.2" x14ac:dyDescent="0.25">
      <c r="H139" s="150"/>
    </row>
    <row r="140" spans="8:8" ht="13.2" x14ac:dyDescent="0.25">
      <c r="H140" s="150"/>
    </row>
    <row r="141" spans="8:8" ht="13.2" x14ac:dyDescent="0.25">
      <c r="H141" s="150"/>
    </row>
    <row r="142" spans="8:8" ht="13.2" x14ac:dyDescent="0.25">
      <c r="H142" s="150"/>
    </row>
    <row r="143" spans="8:8" ht="13.2" x14ac:dyDescent="0.25">
      <c r="H143" s="150"/>
    </row>
    <row r="144" spans="8:8" ht="13.2" x14ac:dyDescent="0.25">
      <c r="H144" s="150"/>
    </row>
    <row r="145" spans="8:8" ht="13.2" x14ac:dyDescent="0.25">
      <c r="H145" s="150"/>
    </row>
    <row r="146" spans="8:8" ht="13.2" x14ac:dyDescent="0.25">
      <c r="H146" s="150"/>
    </row>
    <row r="147" spans="8:8" ht="13.2" x14ac:dyDescent="0.25">
      <c r="H147" s="150"/>
    </row>
    <row r="148" spans="8:8" ht="13.2" x14ac:dyDescent="0.25">
      <c r="H148" s="150"/>
    </row>
    <row r="149" spans="8:8" ht="13.2" x14ac:dyDescent="0.25">
      <c r="H149" s="150"/>
    </row>
    <row r="150" spans="8:8" ht="13.2" x14ac:dyDescent="0.25">
      <c r="H150" s="150"/>
    </row>
    <row r="151" spans="8:8" ht="13.2" x14ac:dyDescent="0.25">
      <c r="H151" s="150"/>
    </row>
    <row r="152" spans="8:8" ht="13.2" x14ac:dyDescent="0.25">
      <c r="H152" s="150"/>
    </row>
    <row r="153" spans="8:8" ht="13.2" x14ac:dyDescent="0.25">
      <c r="H153" s="150"/>
    </row>
    <row r="154" spans="8:8" ht="13.2" x14ac:dyDescent="0.25">
      <c r="H154" s="150"/>
    </row>
    <row r="155" spans="8:8" ht="13.2" x14ac:dyDescent="0.25">
      <c r="H155" s="150"/>
    </row>
    <row r="156" spans="8:8" ht="13.2" x14ac:dyDescent="0.25">
      <c r="H156" s="150"/>
    </row>
    <row r="157" spans="8:8" ht="13.2" x14ac:dyDescent="0.25">
      <c r="H157" s="150"/>
    </row>
    <row r="158" spans="8:8" ht="13.2" x14ac:dyDescent="0.25">
      <c r="H158" s="150"/>
    </row>
    <row r="159" spans="8:8" ht="13.2" x14ac:dyDescent="0.25">
      <c r="H159" s="150"/>
    </row>
    <row r="160" spans="8:8" ht="13.2" x14ac:dyDescent="0.25">
      <c r="H160" s="150"/>
    </row>
    <row r="161" spans="8:8" ht="13.2" x14ac:dyDescent="0.25">
      <c r="H161" s="150"/>
    </row>
    <row r="162" spans="8:8" ht="13.2" x14ac:dyDescent="0.25">
      <c r="H162" s="150"/>
    </row>
    <row r="163" spans="8:8" ht="13.2" x14ac:dyDescent="0.25">
      <c r="H163" s="150"/>
    </row>
    <row r="164" spans="8:8" ht="13.2" x14ac:dyDescent="0.25">
      <c r="H164" s="150"/>
    </row>
    <row r="165" spans="8:8" ht="13.2" x14ac:dyDescent="0.25">
      <c r="H165" s="150"/>
    </row>
    <row r="166" spans="8:8" ht="13.2" x14ac:dyDescent="0.25">
      <c r="H166" s="150"/>
    </row>
    <row r="167" spans="8:8" ht="13.2" x14ac:dyDescent="0.25">
      <c r="H167" s="150"/>
    </row>
    <row r="168" spans="8:8" ht="13.2" x14ac:dyDescent="0.25">
      <c r="H168" s="150"/>
    </row>
    <row r="169" spans="8:8" ht="13.2" x14ac:dyDescent="0.25">
      <c r="H169" s="150"/>
    </row>
    <row r="170" spans="8:8" ht="13.2" x14ac:dyDescent="0.25">
      <c r="H170" s="150"/>
    </row>
    <row r="171" spans="8:8" ht="13.2" x14ac:dyDescent="0.25">
      <c r="H171" s="150"/>
    </row>
    <row r="172" spans="8:8" ht="13.2" x14ac:dyDescent="0.25">
      <c r="H172" s="150"/>
    </row>
    <row r="173" spans="8:8" ht="13.2" x14ac:dyDescent="0.25">
      <c r="H173" s="150"/>
    </row>
    <row r="174" spans="8:8" ht="13.2" x14ac:dyDescent="0.25">
      <c r="H174" s="150"/>
    </row>
    <row r="175" spans="8:8" ht="13.2" x14ac:dyDescent="0.25">
      <c r="H175" s="150"/>
    </row>
    <row r="176" spans="8:8" ht="13.2" x14ac:dyDescent="0.25">
      <c r="H176" s="150"/>
    </row>
    <row r="177" spans="8:8" ht="13.2" x14ac:dyDescent="0.25">
      <c r="H177" s="150"/>
    </row>
    <row r="178" spans="8:8" ht="13.2" x14ac:dyDescent="0.25">
      <c r="H178" s="150"/>
    </row>
    <row r="179" spans="8:8" ht="13.2" x14ac:dyDescent="0.25">
      <c r="H179" s="150"/>
    </row>
    <row r="180" spans="8:8" ht="13.2" x14ac:dyDescent="0.25">
      <c r="H180" s="150"/>
    </row>
    <row r="181" spans="8:8" ht="13.2" x14ac:dyDescent="0.25">
      <c r="H181" s="150"/>
    </row>
    <row r="182" spans="8:8" ht="13.2" x14ac:dyDescent="0.25">
      <c r="H182" s="150"/>
    </row>
    <row r="183" spans="8:8" ht="13.2" x14ac:dyDescent="0.25">
      <c r="H183" s="150"/>
    </row>
    <row r="184" spans="8:8" ht="13.2" x14ac:dyDescent="0.25">
      <c r="H184" s="150"/>
    </row>
    <row r="185" spans="8:8" ht="13.2" x14ac:dyDescent="0.25">
      <c r="H185" s="150"/>
    </row>
    <row r="186" spans="8:8" ht="13.2" x14ac:dyDescent="0.25">
      <c r="H186" s="150"/>
    </row>
    <row r="187" spans="8:8" ht="13.2" x14ac:dyDescent="0.25">
      <c r="H187" s="150"/>
    </row>
    <row r="188" spans="8:8" ht="13.2" x14ac:dyDescent="0.25">
      <c r="H188" s="150"/>
    </row>
    <row r="189" spans="8:8" ht="13.2" x14ac:dyDescent="0.25">
      <c r="H189" s="150"/>
    </row>
    <row r="190" spans="8:8" ht="13.2" x14ac:dyDescent="0.25">
      <c r="H190" s="150"/>
    </row>
    <row r="191" spans="8:8" ht="13.2" x14ac:dyDescent="0.25">
      <c r="H191" s="150"/>
    </row>
    <row r="192" spans="8:8" ht="13.2" x14ac:dyDescent="0.25">
      <c r="H192" s="150"/>
    </row>
    <row r="193" spans="8:8" ht="13.2" x14ac:dyDescent="0.25">
      <c r="H193" s="150"/>
    </row>
    <row r="194" spans="8:8" ht="13.2" x14ac:dyDescent="0.25">
      <c r="H194" s="150"/>
    </row>
    <row r="195" spans="8:8" ht="13.2" x14ac:dyDescent="0.25">
      <c r="H195" s="150"/>
    </row>
    <row r="196" spans="8:8" ht="13.2" x14ac:dyDescent="0.25">
      <c r="H196" s="150"/>
    </row>
    <row r="197" spans="8:8" ht="13.2" x14ac:dyDescent="0.25">
      <c r="H197" s="150"/>
    </row>
    <row r="198" spans="8:8" ht="13.2" x14ac:dyDescent="0.25">
      <c r="H198" s="150"/>
    </row>
    <row r="199" spans="8:8" ht="13.2" x14ac:dyDescent="0.25">
      <c r="H199" s="150"/>
    </row>
    <row r="200" spans="8:8" ht="13.2" x14ac:dyDescent="0.25">
      <c r="H200" s="150"/>
    </row>
    <row r="201" spans="8:8" ht="13.2" x14ac:dyDescent="0.25">
      <c r="H201" s="150"/>
    </row>
    <row r="202" spans="8:8" ht="13.2" x14ac:dyDescent="0.25">
      <c r="H202" s="150"/>
    </row>
    <row r="203" spans="8:8" ht="13.2" x14ac:dyDescent="0.25">
      <c r="H203" s="150"/>
    </row>
    <row r="204" spans="8:8" ht="13.2" x14ac:dyDescent="0.25">
      <c r="H204" s="150"/>
    </row>
    <row r="205" spans="8:8" ht="13.2" x14ac:dyDescent="0.25">
      <c r="H205" s="150"/>
    </row>
    <row r="206" spans="8:8" ht="13.2" x14ac:dyDescent="0.25">
      <c r="H206" s="150"/>
    </row>
    <row r="207" spans="8:8" ht="13.2" x14ac:dyDescent="0.25">
      <c r="H207" s="150"/>
    </row>
    <row r="208" spans="8:8" ht="13.2" x14ac:dyDescent="0.25">
      <c r="H208" s="150"/>
    </row>
    <row r="209" spans="8:8" ht="13.2" x14ac:dyDescent="0.25">
      <c r="H209" s="150"/>
    </row>
    <row r="210" spans="8:8" ht="13.2" x14ac:dyDescent="0.25">
      <c r="H210" s="150"/>
    </row>
    <row r="211" spans="8:8" ht="13.2" x14ac:dyDescent="0.25">
      <c r="H211" s="150"/>
    </row>
    <row r="212" spans="8:8" ht="13.2" x14ac:dyDescent="0.25">
      <c r="H212" s="150"/>
    </row>
    <row r="213" spans="8:8" ht="13.2" x14ac:dyDescent="0.25">
      <c r="H213" s="150"/>
    </row>
    <row r="214" spans="8:8" ht="13.2" x14ac:dyDescent="0.25">
      <c r="H214" s="150"/>
    </row>
    <row r="215" spans="8:8" ht="13.2" x14ac:dyDescent="0.25">
      <c r="H215" s="150"/>
    </row>
    <row r="216" spans="8:8" ht="13.2" x14ac:dyDescent="0.25">
      <c r="H216" s="150"/>
    </row>
    <row r="217" spans="8:8" ht="13.2" x14ac:dyDescent="0.25">
      <c r="H217" s="150"/>
    </row>
    <row r="218" spans="8:8" ht="13.2" x14ac:dyDescent="0.25">
      <c r="H218" s="150"/>
    </row>
    <row r="219" spans="8:8" ht="13.2" x14ac:dyDescent="0.25">
      <c r="H219" s="150"/>
    </row>
    <row r="220" spans="8:8" ht="13.2" x14ac:dyDescent="0.25">
      <c r="H220" s="150"/>
    </row>
    <row r="221" spans="8:8" ht="13.2" x14ac:dyDescent="0.25">
      <c r="H221" s="150"/>
    </row>
    <row r="222" spans="8:8" ht="13.2" x14ac:dyDescent="0.25">
      <c r="H222" s="150"/>
    </row>
    <row r="223" spans="8:8" ht="13.2" x14ac:dyDescent="0.25">
      <c r="H223" s="150"/>
    </row>
    <row r="224" spans="8:8" ht="13.2" x14ac:dyDescent="0.25">
      <c r="H224" s="150"/>
    </row>
    <row r="225" spans="8:8" ht="13.2" x14ac:dyDescent="0.25">
      <c r="H225" s="150"/>
    </row>
    <row r="226" spans="8:8" ht="13.2" x14ac:dyDescent="0.25">
      <c r="H226" s="150"/>
    </row>
    <row r="227" spans="8:8" ht="13.2" x14ac:dyDescent="0.25">
      <c r="H227" s="150"/>
    </row>
    <row r="228" spans="8:8" ht="13.2" x14ac:dyDescent="0.25">
      <c r="H228" s="150"/>
    </row>
    <row r="229" spans="8:8" ht="13.2" x14ac:dyDescent="0.25">
      <c r="H229" s="150"/>
    </row>
    <row r="230" spans="8:8" ht="13.2" x14ac:dyDescent="0.25">
      <c r="H230" s="150"/>
    </row>
    <row r="231" spans="8:8" ht="13.2" x14ac:dyDescent="0.25">
      <c r="H231" s="150"/>
    </row>
    <row r="232" spans="8:8" ht="13.2" x14ac:dyDescent="0.25">
      <c r="H232" s="150"/>
    </row>
    <row r="233" spans="8:8" ht="13.2" x14ac:dyDescent="0.25">
      <c r="H233" s="150"/>
    </row>
    <row r="234" spans="8:8" ht="13.2" x14ac:dyDescent="0.25">
      <c r="H234" s="150"/>
    </row>
    <row r="235" spans="8:8" ht="13.2" x14ac:dyDescent="0.25">
      <c r="H235" s="150"/>
    </row>
    <row r="236" spans="8:8" ht="13.2" x14ac:dyDescent="0.25">
      <c r="H236" s="150"/>
    </row>
    <row r="237" spans="8:8" ht="13.2" x14ac:dyDescent="0.25">
      <c r="H237" s="150"/>
    </row>
    <row r="238" spans="8:8" ht="13.2" x14ac:dyDescent="0.25">
      <c r="H238" s="150"/>
    </row>
    <row r="239" spans="8:8" ht="13.2" x14ac:dyDescent="0.25">
      <c r="H239" s="150"/>
    </row>
    <row r="240" spans="8:8" ht="13.2" x14ac:dyDescent="0.25">
      <c r="H240" s="150"/>
    </row>
    <row r="241" spans="8:8" ht="13.2" x14ac:dyDescent="0.25">
      <c r="H241" s="150"/>
    </row>
    <row r="242" spans="8:8" ht="13.2" x14ac:dyDescent="0.25">
      <c r="H242" s="150"/>
    </row>
    <row r="243" spans="8:8" ht="13.2" x14ac:dyDescent="0.25">
      <c r="H243" s="150"/>
    </row>
    <row r="244" spans="8:8" ht="13.2" x14ac:dyDescent="0.25">
      <c r="H244" s="150"/>
    </row>
    <row r="245" spans="8:8" ht="13.2" x14ac:dyDescent="0.25">
      <c r="H245" s="150"/>
    </row>
    <row r="246" spans="8:8" ht="13.2" x14ac:dyDescent="0.25">
      <c r="H246" s="150"/>
    </row>
    <row r="247" spans="8:8" ht="13.2" x14ac:dyDescent="0.25">
      <c r="H247" s="150"/>
    </row>
    <row r="248" spans="8:8" ht="13.2" x14ac:dyDescent="0.25">
      <c r="H248" s="150"/>
    </row>
    <row r="249" spans="8:8" ht="13.2" x14ac:dyDescent="0.25">
      <c r="H249" s="150"/>
    </row>
    <row r="250" spans="8:8" ht="13.2" x14ac:dyDescent="0.25">
      <c r="H250" s="150"/>
    </row>
    <row r="251" spans="8:8" ht="13.2" x14ac:dyDescent="0.25">
      <c r="H251" s="150"/>
    </row>
    <row r="252" spans="8:8" ht="13.2" x14ac:dyDescent="0.25">
      <c r="H252" s="150"/>
    </row>
    <row r="253" spans="8:8" ht="13.2" x14ac:dyDescent="0.25">
      <c r="H253" s="150"/>
    </row>
    <row r="254" spans="8:8" ht="13.2" x14ac:dyDescent="0.25">
      <c r="H254" s="150"/>
    </row>
    <row r="255" spans="8:8" ht="13.2" x14ac:dyDescent="0.25">
      <c r="H255" s="150"/>
    </row>
    <row r="256" spans="8:8" ht="13.2" x14ac:dyDescent="0.25">
      <c r="H256" s="150"/>
    </row>
    <row r="257" spans="8:8" ht="13.2" x14ac:dyDescent="0.25">
      <c r="H257" s="150"/>
    </row>
    <row r="258" spans="8:8" ht="13.2" x14ac:dyDescent="0.25">
      <c r="H258" s="150"/>
    </row>
    <row r="259" spans="8:8" ht="13.2" x14ac:dyDescent="0.25">
      <c r="H259" s="150"/>
    </row>
    <row r="260" spans="8:8" ht="13.2" x14ac:dyDescent="0.25">
      <c r="H260" s="150"/>
    </row>
    <row r="261" spans="8:8" ht="13.2" x14ac:dyDescent="0.25">
      <c r="H261" s="150"/>
    </row>
    <row r="262" spans="8:8" ht="13.2" x14ac:dyDescent="0.25">
      <c r="H262" s="150"/>
    </row>
    <row r="263" spans="8:8" ht="13.2" x14ac:dyDescent="0.25">
      <c r="H263" s="150"/>
    </row>
    <row r="264" spans="8:8" ht="13.2" x14ac:dyDescent="0.25">
      <c r="H264" s="150"/>
    </row>
    <row r="265" spans="8:8" ht="13.2" x14ac:dyDescent="0.25">
      <c r="H265" s="150"/>
    </row>
    <row r="266" spans="8:8" ht="13.2" x14ac:dyDescent="0.25">
      <c r="H266" s="150"/>
    </row>
    <row r="267" spans="8:8" ht="13.2" x14ac:dyDescent="0.25">
      <c r="H267" s="150"/>
    </row>
    <row r="268" spans="8:8" ht="13.2" x14ac:dyDescent="0.25">
      <c r="H268" s="150"/>
    </row>
    <row r="269" spans="8:8" ht="13.2" x14ac:dyDescent="0.25">
      <c r="H269" s="150"/>
    </row>
    <row r="270" spans="8:8" ht="13.2" x14ac:dyDescent="0.25">
      <c r="H270" s="150"/>
    </row>
    <row r="271" spans="8:8" ht="13.2" x14ac:dyDescent="0.25">
      <c r="H271" s="150"/>
    </row>
    <row r="272" spans="8:8" ht="13.2" x14ac:dyDescent="0.25">
      <c r="H272" s="150"/>
    </row>
    <row r="273" spans="8:8" ht="13.2" x14ac:dyDescent="0.25">
      <c r="H273" s="150"/>
    </row>
    <row r="274" spans="8:8" ht="13.2" x14ac:dyDescent="0.25">
      <c r="H274" s="150"/>
    </row>
    <row r="275" spans="8:8" ht="13.2" x14ac:dyDescent="0.25">
      <c r="H275" s="150"/>
    </row>
    <row r="276" spans="8:8" ht="13.2" x14ac:dyDescent="0.25">
      <c r="H276" s="150"/>
    </row>
    <row r="277" spans="8:8" ht="13.2" x14ac:dyDescent="0.25">
      <c r="H277" s="150"/>
    </row>
    <row r="278" spans="8:8" ht="13.2" x14ac:dyDescent="0.25">
      <c r="H278" s="150"/>
    </row>
    <row r="279" spans="8:8" ht="13.2" x14ac:dyDescent="0.25">
      <c r="H279" s="150"/>
    </row>
    <row r="280" spans="8:8" ht="13.2" x14ac:dyDescent="0.25">
      <c r="H280" s="150"/>
    </row>
    <row r="281" spans="8:8" ht="13.2" x14ac:dyDescent="0.25">
      <c r="H281" s="150"/>
    </row>
    <row r="282" spans="8:8" ht="13.2" x14ac:dyDescent="0.25">
      <c r="H282" s="150"/>
    </row>
    <row r="283" spans="8:8" ht="13.2" x14ac:dyDescent="0.25">
      <c r="H283" s="150"/>
    </row>
    <row r="284" spans="8:8" ht="13.2" x14ac:dyDescent="0.25">
      <c r="H284" s="150"/>
    </row>
    <row r="285" spans="8:8" ht="13.2" x14ac:dyDescent="0.25">
      <c r="H285" s="150"/>
    </row>
    <row r="286" spans="8:8" ht="13.2" x14ac:dyDescent="0.25">
      <c r="H286" s="150"/>
    </row>
    <row r="287" spans="8:8" ht="13.2" x14ac:dyDescent="0.25">
      <c r="H287" s="150"/>
    </row>
    <row r="288" spans="8:8" ht="13.2" x14ac:dyDescent="0.25">
      <c r="H288" s="150"/>
    </row>
    <row r="289" spans="8:8" ht="13.2" x14ac:dyDescent="0.25">
      <c r="H289" s="150"/>
    </row>
    <row r="290" spans="8:8" ht="13.2" x14ac:dyDescent="0.25">
      <c r="H290" s="150"/>
    </row>
    <row r="291" spans="8:8" ht="13.2" x14ac:dyDescent="0.25">
      <c r="H291" s="150"/>
    </row>
    <row r="292" spans="8:8" ht="13.2" x14ac:dyDescent="0.25">
      <c r="H292" s="150"/>
    </row>
    <row r="293" spans="8:8" ht="13.2" x14ac:dyDescent="0.25">
      <c r="H293" s="150"/>
    </row>
    <row r="294" spans="8:8" ht="13.2" x14ac:dyDescent="0.25">
      <c r="H294" s="150"/>
    </row>
    <row r="295" spans="8:8" ht="13.2" x14ac:dyDescent="0.25">
      <c r="H295" s="150"/>
    </row>
    <row r="296" spans="8:8" ht="13.2" x14ac:dyDescent="0.25">
      <c r="H296" s="150"/>
    </row>
    <row r="297" spans="8:8" ht="13.2" x14ac:dyDescent="0.25">
      <c r="H297" s="150"/>
    </row>
    <row r="298" spans="8:8" ht="13.2" x14ac:dyDescent="0.25">
      <c r="H298" s="150"/>
    </row>
    <row r="299" spans="8:8" ht="13.2" x14ac:dyDescent="0.25">
      <c r="H299" s="150"/>
    </row>
    <row r="300" spans="8:8" ht="13.2" x14ac:dyDescent="0.25">
      <c r="H300" s="150"/>
    </row>
    <row r="301" spans="8:8" ht="13.2" x14ac:dyDescent="0.25">
      <c r="H301" s="150"/>
    </row>
    <row r="302" spans="8:8" ht="13.2" x14ac:dyDescent="0.25">
      <c r="H302" s="150"/>
    </row>
    <row r="303" spans="8:8" ht="13.2" x14ac:dyDescent="0.25">
      <c r="H303" s="150"/>
    </row>
    <row r="304" spans="8:8" ht="13.2" x14ac:dyDescent="0.25">
      <c r="H304" s="150"/>
    </row>
    <row r="305" spans="8:8" ht="13.2" x14ac:dyDescent="0.25">
      <c r="H305" s="150"/>
    </row>
    <row r="306" spans="8:8" ht="13.2" x14ac:dyDescent="0.25">
      <c r="H306" s="150"/>
    </row>
    <row r="307" spans="8:8" ht="13.2" x14ac:dyDescent="0.25">
      <c r="H307" s="150"/>
    </row>
    <row r="308" spans="8:8" ht="13.2" x14ac:dyDescent="0.25">
      <c r="H308" s="150"/>
    </row>
    <row r="309" spans="8:8" ht="13.2" x14ac:dyDescent="0.25">
      <c r="H309" s="150"/>
    </row>
    <row r="310" spans="8:8" ht="13.2" x14ac:dyDescent="0.25">
      <c r="H310" s="150"/>
    </row>
    <row r="311" spans="8:8" ht="13.2" x14ac:dyDescent="0.25">
      <c r="H311" s="150"/>
    </row>
    <row r="312" spans="8:8" ht="13.2" x14ac:dyDescent="0.25">
      <c r="H312" s="150"/>
    </row>
    <row r="313" spans="8:8" ht="13.2" x14ac:dyDescent="0.25">
      <c r="H313" s="150"/>
    </row>
    <row r="314" spans="8:8" ht="13.2" x14ac:dyDescent="0.25">
      <c r="H314" s="150"/>
    </row>
    <row r="315" spans="8:8" ht="13.2" x14ac:dyDescent="0.25">
      <c r="H315" s="150"/>
    </row>
    <row r="316" spans="8:8" ht="13.2" x14ac:dyDescent="0.25">
      <c r="H316" s="150"/>
    </row>
    <row r="317" spans="8:8" ht="13.2" x14ac:dyDescent="0.25">
      <c r="H317" s="150"/>
    </row>
    <row r="318" spans="8:8" ht="13.2" x14ac:dyDescent="0.25">
      <c r="H318" s="150"/>
    </row>
    <row r="319" spans="8:8" ht="13.2" x14ac:dyDescent="0.25">
      <c r="H319" s="150"/>
    </row>
    <row r="320" spans="8:8" ht="13.2" x14ac:dyDescent="0.25">
      <c r="H320" s="150"/>
    </row>
    <row r="321" spans="8:8" ht="13.2" x14ac:dyDescent="0.25">
      <c r="H321" s="150"/>
    </row>
    <row r="322" spans="8:8" ht="13.2" x14ac:dyDescent="0.25">
      <c r="H322" s="150"/>
    </row>
    <row r="323" spans="8:8" ht="13.2" x14ac:dyDescent="0.25">
      <c r="H323" s="150"/>
    </row>
    <row r="324" spans="8:8" ht="13.2" x14ac:dyDescent="0.25">
      <c r="H324" s="150"/>
    </row>
    <row r="325" spans="8:8" ht="13.2" x14ac:dyDescent="0.25">
      <c r="H325" s="150"/>
    </row>
    <row r="326" spans="8:8" ht="13.2" x14ac:dyDescent="0.25">
      <c r="H326" s="150"/>
    </row>
    <row r="327" spans="8:8" ht="13.2" x14ac:dyDescent="0.25">
      <c r="H327" s="150"/>
    </row>
    <row r="328" spans="8:8" ht="13.2" x14ac:dyDescent="0.25">
      <c r="H328" s="150"/>
    </row>
    <row r="329" spans="8:8" ht="13.2" x14ac:dyDescent="0.25">
      <c r="H329" s="150"/>
    </row>
    <row r="330" spans="8:8" ht="13.2" x14ac:dyDescent="0.25">
      <c r="H330" s="150"/>
    </row>
    <row r="331" spans="8:8" ht="13.2" x14ac:dyDescent="0.25">
      <c r="H331" s="150"/>
    </row>
    <row r="332" spans="8:8" ht="13.2" x14ac:dyDescent="0.25">
      <c r="H332" s="150"/>
    </row>
    <row r="333" spans="8:8" ht="13.2" x14ac:dyDescent="0.25">
      <c r="H333" s="150"/>
    </row>
    <row r="334" spans="8:8" ht="13.2" x14ac:dyDescent="0.25">
      <c r="H334" s="150"/>
    </row>
    <row r="335" spans="8:8" ht="13.2" x14ac:dyDescent="0.25">
      <c r="H335" s="150"/>
    </row>
    <row r="336" spans="8:8" ht="13.2" x14ac:dyDescent="0.25">
      <c r="H336" s="150"/>
    </row>
    <row r="337" spans="8:8" ht="13.2" x14ac:dyDescent="0.25">
      <c r="H337" s="150"/>
    </row>
    <row r="338" spans="8:8" ht="13.2" x14ac:dyDescent="0.25">
      <c r="H338" s="150"/>
    </row>
    <row r="339" spans="8:8" ht="13.2" x14ac:dyDescent="0.25">
      <c r="H339" s="150"/>
    </row>
    <row r="340" spans="8:8" ht="13.2" x14ac:dyDescent="0.25">
      <c r="H340" s="150"/>
    </row>
    <row r="341" spans="8:8" ht="13.2" x14ac:dyDescent="0.25">
      <c r="H341" s="150"/>
    </row>
    <row r="342" spans="8:8" ht="13.2" x14ac:dyDescent="0.25">
      <c r="H342" s="150"/>
    </row>
    <row r="343" spans="8:8" ht="13.2" x14ac:dyDescent="0.25">
      <c r="H343" s="150"/>
    </row>
    <row r="344" spans="8:8" ht="13.2" x14ac:dyDescent="0.25">
      <c r="H344" s="150"/>
    </row>
    <row r="345" spans="8:8" ht="13.2" x14ac:dyDescent="0.25">
      <c r="H345" s="150"/>
    </row>
    <row r="346" spans="8:8" ht="13.2" x14ac:dyDescent="0.25">
      <c r="H346" s="150"/>
    </row>
    <row r="347" spans="8:8" ht="13.2" x14ac:dyDescent="0.25">
      <c r="H347" s="150"/>
    </row>
    <row r="348" spans="8:8" ht="13.2" x14ac:dyDescent="0.25">
      <c r="H348" s="150"/>
    </row>
    <row r="349" spans="8:8" ht="13.2" x14ac:dyDescent="0.25">
      <c r="H349" s="150"/>
    </row>
    <row r="350" spans="8:8" ht="13.2" x14ac:dyDescent="0.25">
      <c r="H350" s="150"/>
    </row>
    <row r="351" spans="8:8" ht="13.2" x14ac:dyDescent="0.25">
      <c r="H351" s="150"/>
    </row>
    <row r="352" spans="8:8" ht="13.2" x14ac:dyDescent="0.25">
      <c r="H352" s="150"/>
    </row>
    <row r="353" spans="8:8" ht="13.2" x14ac:dyDescent="0.25">
      <c r="H353" s="150"/>
    </row>
    <row r="354" spans="8:8" ht="13.2" x14ac:dyDescent="0.25">
      <c r="H354" s="150"/>
    </row>
    <row r="355" spans="8:8" ht="13.2" x14ac:dyDescent="0.25">
      <c r="H355" s="150"/>
    </row>
    <row r="356" spans="8:8" ht="13.2" x14ac:dyDescent="0.25">
      <c r="H356" s="150"/>
    </row>
    <row r="357" spans="8:8" ht="13.2" x14ac:dyDescent="0.25">
      <c r="H357" s="150"/>
    </row>
    <row r="358" spans="8:8" ht="13.2" x14ac:dyDescent="0.25">
      <c r="H358" s="150"/>
    </row>
    <row r="359" spans="8:8" ht="13.2" x14ac:dyDescent="0.25">
      <c r="H359" s="150"/>
    </row>
    <row r="360" spans="8:8" ht="13.2" x14ac:dyDescent="0.25">
      <c r="H360" s="150"/>
    </row>
    <row r="361" spans="8:8" ht="13.2" x14ac:dyDescent="0.25">
      <c r="H361" s="150"/>
    </row>
    <row r="362" spans="8:8" ht="13.2" x14ac:dyDescent="0.25">
      <c r="H362" s="150"/>
    </row>
    <row r="363" spans="8:8" ht="13.2" x14ac:dyDescent="0.25">
      <c r="H363" s="150"/>
    </row>
    <row r="364" spans="8:8" ht="13.2" x14ac:dyDescent="0.25">
      <c r="H364" s="150"/>
    </row>
    <row r="365" spans="8:8" ht="13.2" x14ac:dyDescent="0.25">
      <c r="H365" s="150"/>
    </row>
    <row r="366" spans="8:8" ht="13.2" x14ac:dyDescent="0.25">
      <c r="H366" s="150"/>
    </row>
    <row r="367" spans="8:8" ht="13.2" x14ac:dyDescent="0.25">
      <c r="H367" s="150"/>
    </row>
    <row r="368" spans="8:8" ht="13.2" x14ac:dyDescent="0.25">
      <c r="H368" s="150"/>
    </row>
    <row r="369" spans="8:8" ht="13.2" x14ac:dyDescent="0.25">
      <c r="H369" s="150"/>
    </row>
    <row r="370" spans="8:8" ht="13.2" x14ac:dyDescent="0.25">
      <c r="H370" s="150"/>
    </row>
    <row r="371" spans="8:8" ht="13.2" x14ac:dyDescent="0.25">
      <c r="H371" s="150"/>
    </row>
    <row r="372" spans="8:8" ht="13.2" x14ac:dyDescent="0.25">
      <c r="H372" s="150"/>
    </row>
    <row r="373" spans="8:8" ht="13.2" x14ac:dyDescent="0.25">
      <c r="H373" s="150"/>
    </row>
    <row r="374" spans="8:8" ht="13.2" x14ac:dyDescent="0.25">
      <c r="H374" s="150"/>
    </row>
    <row r="375" spans="8:8" ht="13.2" x14ac:dyDescent="0.25">
      <c r="H375" s="150"/>
    </row>
    <row r="376" spans="8:8" ht="13.2" x14ac:dyDescent="0.25">
      <c r="H376" s="150"/>
    </row>
    <row r="377" spans="8:8" ht="13.2" x14ac:dyDescent="0.25">
      <c r="H377" s="150"/>
    </row>
    <row r="378" spans="8:8" ht="13.2" x14ac:dyDescent="0.25">
      <c r="H378" s="150"/>
    </row>
    <row r="379" spans="8:8" ht="13.2" x14ac:dyDescent="0.25">
      <c r="H379" s="150"/>
    </row>
    <row r="380" spans="8:8" ht="13.2" x14ac:dyDescent="0.25">
      <c r="H380" s="150"/>
    </row>
    <row r="381" spans="8:8" ht="13.2" x14ac:dyDescent="0.25">
      <c r="H381" s="150"/>
    </row>
    <row r="382" spans="8:8" ht="13.2" x14ac:dyDescent="0.25">
      <c r="H382" s="150"/>
    </row>
    <row r="383" spans="8:8" ht="13.2" x14ac:dyDescent="0.25">
      <c r="H383" s="150"/>
    </row>
    <row r="384" spans="8:8" ht="13.2" x14ac:dyDescent="0.25">
      <c r="H384" s="150"/>
    </row>
    <row r="385" spans="8:8" ht="13.2" x14ac:dyDescent="0.25">
      <c r="H385" s="150"/>
    </row>
    <row r="386" spans="8:8" ht="13.2" x14ac:dyDescent="0.25">
      <c r="H386" s="150"/>
    </row>
    <row r="387" spans="8:8" ht="13.2" x14ac:dyDescent="0.25">
      <c r="H387" s="150"/>
    </row>
    <row r="388" spans="8:8" ht="13.2" x14ac:dyDescent="0.25">
      <c r="H388" s="150"/>
    </row>
    <row r="389" spans="8:8" ht="13.2" x14ac:dyDescent="0.25">
      <c r="H389" s="150"/>
    </row>
    <row r="390" spans="8:8" ht="13.2" x14ac:dyDescent="0.25">
      <c r="H390" s="150"/>
    </row>
    <row r="391" spans="8:8" ht="13.2" x14ac:dyDescent="0.25">
      <c r="H391" s="150"/>
    </row>
    <row r="392" spans="8:8" ht="13.2" x14ac:dyDescent="0.25">
      <c r="H392" s="150"/>
    </row>
    <row r="393" spans="8:8" ht="13.2" x14ac:dyDescent="0.25">
      <c r="H393" s="150"/>
    </row>
    <row r="394" spans="8:8" ht="13.2" x14ac:dyDescent="0.25">
      <c r="H394" s="150"/>
    </row>
    <row r="395" spans="8:8" ht="13.2" x14ac:dyDescent="0.25">
      <c r="H395" s="150"/>
    </row>
    <row r="396" spans="8:8" ht="13.2" x14ac:dyDescent="0.25">
      <c r="H396" s="150"/>
    </row>
    <row r="397" spans="8:8" ht="13.2" x14ac:dyDescent="0.25">
      <c r="H397" s="150"/>
    </row>
    <row r="398" spans="8:8" ht="13.2" x14ac:dyDescent="0.25">
      <c r="H398" s="150"/>
    </row>
    <row r="399" spans="8:8" ht="13.2" x14ac:dyDescent="0.25">
      <c r="H399" s="150"/>
    </row>
    <row r="400" spans="8:8" ht="13.2" x14ac:dyDescent="0.25">
      <c r="H400" s="150"/>
    </row>
    <row r="401" spans="8:8" ht="13.2" x14ac:dyDescent="0.25">
      <c r="H401" s="150"/>
    </row>
    <row r="402" spans="8:8" ht="13.2" x14ac:dyDescent="0.25">
      <c r="H402" s="150"/>
    </row>
    <row r="403" spans="8:8" ht="13.2" x14ac:dyDescent="0.25">
      <c r="H403" s="150"/>
    </row>
    <row r="404" spans="8:8" ht="13.2" x14ac:dyDescent="0.25">
      <c r="H404" s="150"/>
    </row>
    <row r="405" spans="8:8" ht="13.2" x14ac:dyDescent="0.25">
      <c r="H405" s="150"/>
    </row>
    <row r="406" spans="8:8" ht="13.2" x14ac:dyDescent="0.25">
      <c r="H406" s="150"/>
    </row>
    <row r="407" spans="8:8" ht="13.2" x14ac:dyDescent="0.25">
      <c r="H407" s="150"/>
    </row>
    <row r="408" spans="8:8" ht="13.2" x14ac:dyDescent="0.25">
      <c r="H408" s="150"/>
    </row>
    <row r="409" spans="8:8" ht="13.2" x14ac:dyDescent="0.25">
      <c r="H409" s="150"/>
    </row>
    <row r="410" spans="8:8" ht="13.2" x14ac:dyDescent="0.25">
      <c r="H410" s="150"/>
    </row>
    <row r="411" spans="8:8" ht="13.2" x14ac:dyDescent="0.25">
      <c r="H411" s="150"/>
    </row>
    <row r="412" spans="8:8" ht="13.2" x14ac:dyDescent="0.25">
      <c r="H412" s="150"/>
    </row>
    <row r="413" spans="8:8" ht="13.2" x14ac:dyDescent="0.25">
      <c r="H413" s="150"/>
    </row>
    <row r="414" spans="8:8" ht="13.2" x14ac:dyDescent="0.25">
      <c r="H414" s="150"/>
    </row>
    <row r="415" spans="8:8" ht="13.2" x14ac:dyDescent="0.25">
      <c r="H415" s="150"/>
    </row>
    <row r="416" spans="8:8" ht="13.2" x14ac:dyDescent="0.25">
      <c r="H416" s="150"/>
    </row>
    <row r="417" spans="8:8" ht="13.2" x14ac:dyDescent="0.25">
      <c r="H417" s="150"/>
    </row>
    <row r="418" spans="8:8" ht="13.2" x14ac:dyDescent="0.25">
      <c r="H418" s="150"/>
    </row>
    <row r="419" spans="8:8" ht="13.2" x14ac:dyDescent="0.25">
      <c r="H419" s="150"/>
    </row>
    <row r="420" spans="8:8" ht="13.2" x14ac:dyDescent="0.25">
      <c r="H420" s="150"/>
    </row>
    <row r="421" spans="8:8" ht="13.2" x14ac:dyDescent="0.25">
      <c r="H421" s="150"/>
    </row>
    <row r="422" spans="8:8" ht="13.2" x14ac:dyDescent="0.25">
      <c r="H422" s="150"/>
    </row>
    <row r="423" spans="8:8" ht="13.2" x14ac:dyDescent="0.25">
      <c r="H423" s="150"/>
    </row>
    <row r="424" spans="8:8" ht="13.2" x14ac:dyDescent="0.25">
      <c r="H424" s="150"/>
    </row>
    <row r="425" spans="8:8" ht="13.2" x14ac:dyDescent="0.25">
      <c r="H425" s="150"/>
    </row>
    <row r="426" spans="8:8" ht="13.2" x14ac:dyDescent="0.25">
      <c r="H426" s="150"/>
    </row>
    <row r="427" spans="8:8" ht="13.2" x14ac:dyDescent="0.25">
      <c r="H427" s="150"/>
    </row>
    <row r="428" spans="8:8" ht="13.2" x14ac:dyDescent="0.25">
      <c r="H428" s="150"/>
    </row>
    <row r="429" spans="8:8" ht="13.2" x14ac:dyDescent="0.25">
      <c r="H429" s="150"/>
    </row>
    <row r="430" spans="8:8" ht="13.2" x14ac:dyDescent="0.25">
      <c r="H430" s="150"/>
    </row>
    <row r="431" spans="8:8" ht="13.2" x14ac:dyDescent="0.25">
      <c r="H431" s="150"/>
    </row>
    <row r="432" spans="8:8" ht="13.2" x14ac:dyDescent="0.25">
      <c r="H432" s="150"/>
    </row>
    <row r="433" spans="8:8" ht="13.2" x14ac:dyDescent="0.25">
      <c r="H433" s="150"/>
    </row>
    <row r="434" spans="8:8" ht="13.2" x14ac:dyDescent="0.25">
      <c r="H434" s="150"/>
    </row>
    <row r="435" spans="8:8" ht="13.2" x14ac:dyDescent="0.25">
      <c r="H435" s="150"/>
    </row>
    <row r="436" spans="8:8" ht="13.2" x14ac:dyDescent="0.25">
      <c r="H436" s="150"/>
    </row>
    <row r="437" spans="8:8" ht="13.2" x14ac:dyDescent="0.25">
      <c r="H437" s="150"/>
    </row>
    <row r="438" spans="8:8" ht="13.2" x14ac:dyDescent="0.25">
      <c r="H438" s="150"/>
    </row>
    <row r="439" spans="8:8" ht="13.2" x14ac:dyDescent="0.25">
      <c r="H439" s="150"/>
    </row>
    <row r="440" spans="8:8" ht="13.2" x14ac:dyDescent="0.25">
      <c r="H440" s="150"/>
    </row>
    <row r="441" spans="8:8" ht="13.2" x14ac:dyDescent="0.25">
      <c r="H441" s="150"/>
    </row>
    <row r="442" spans="8:8" ht="13.2" x14ac:dyDescent="0.25">
      <c r="H442" s="150"/>
    </row>
    <row r="443" spans="8:8" ht="13.2" x14ac:dyDescent="0.25">
      <c r="H443" s="150"/>
    </row>
    <row r="444" spans="8:8" ht="13.2" x14ac:dyDescent="0.25">
      <c r="H444" s="150"/>
    </row>
    <row r="445" spans="8:8" ht="13.2" x14ac:dyDescent="0.25">
      <c r="H445" s="150"/>
    </row>
    <row r="446" spans="8:8" ht="13.2" x14ac:dyDescent="0.25">
      <c r="H446" s="150"/>
    </row>
    <row r="447" spans="8:8" ht="13.2" x14ac:dyDescent="0.25">
      <c r="H447" s="150"/>
    </row>
    <row r="448" spans="8:8" ht="13.2" x14ac:dyDescent="0.25">
      <c r="H448" s="150"/>
    </row>
    <row r="449" spans="8:8" ht="13.2" x14ac:dyDescent="0.25">
      <c r="H449" s="150"/>
    </row>
    <row r="450" spans="8:8" ht="13.2" x14ac:dyDescent="0.25">
      <c r="H450" s="150"/>
    </row>
    <row r="451" spans="8:8" ht="13.2" x14ac:dyDescent="0.25">
      <c r="H451" s="150"/>
    </row>
    <row r="452" spans="8:8" ht="13.2" x14ac:dyDescent="0.25">
      <c r="H452" s="150"/>
    </row>
    <row r="453" spans="8:8" ht="13.2" x14ac:dyDescent="0.25">
      <c r="H453" s="150"/>
    </row>
    <row r="454" spans="8:8" ht="13.2" x14ac:dyDescent="0.25">
      <c r="H454" s="150"/>
    </row>
    <row r="455" spans="8:8" ht="13.2" x14ac:dyDescent="0.25">
      <c r="H455" s="150"/>
    </row>
    <row r="456" spans="8:8" ht="13.2" x14ac:dyDescent="0.25">
      <c r="H456" s="150"/>
    </row>
    <row r="457" spans="8:8" ht="13.2" x14ac:dyDescent="0.25">
      <c r="H457" s="150"/>
    </row>
    <row r="458" spans="8:8" ht="13.2" x14ac:dyDescent="0.25">
      <c r="H458" s="150"/>
    </row>
    <row r="459" spans="8:8" ht="13.2" x14ac:dyDescent="0.25">
      <c r="H459" s="150"/>
    </row>
    <row r="460" spans="8:8" ht="13.2" x14ac:dyDescent="0.25">
      <c r="H460" s="150"/>
    </row>
    <row r="461" spans="8:8" ht="13.2" x14ac:dyDescent="0.25">
      <c r="H461" s="150"/>
    </row>
    <row r="462" spans="8:8" ht="13.2" x14ac:dyDescent="0.25">
      <c r="H462" s="150"/>
    </row>
    <row r="463" spans="8:8" ht="13.2" x14ac:dyDescent="0.25">
      <c r="H463" s="150"/>
    </row>
    <row r="464" spans="8:8" ht="13.2" x14ac:dyDescent="0.25">
      <c r="H464" s="150"/>
    </row>
    <row r="465" spans="8:8" ht="13.2" x14ac:dyDescent="0.25">
      <c r="H465" s="150"/>
    </row>
    <row r="466" spans="8:8" ht="13.2" x14ac:dyDescent="0.25">
      <c r="H466" s="150"/>
    </row>
    <row r="467" spans="8:8" ht="13.2" x14ac:dyDescent="0.25">
      <c r="H467" s="150"/>
    </row>
    <row r="468" spans="8:8" ht="13.2" x14ac:dyDescent="0.25">
      <c r="H468" s="150"/>
    </row>
    <row r="469" spans="8:8" ht="13.2" x14ac:dyDescent="0.25">
      <c r="H469" s="150"/>
    </row>
    <row r="470" spans="8:8" ht="13.2" x14ac:dyDescent="0.25">
      <c r="H470" s="150"/>
    </row>
    <row r="471" spans="8:8" ht="13.2" x14ac:dyDescent="0.25">
      <c r="H471" s="150"/>
    </row>
    <row r="472" spans="8:8" ht="13.2" x14ac:dyDescent="0.25">
      <c r="H472" s="150"/>
    </row>
    <row r="473" spans="8:8" ht="13.2" x14ac:dyDescent="0.25">
      <c r="H473" s="150"/>
    </row>
    <row r="474" spans="8:8" ht="13.2" x14ac:dyDescent="0.25">
      <c r="H474" s="150"/>
    </row>
    <row r="475" spans="8:8" ht="13.2" x14ac:dyDescent="0.25">
      <c r="H475" s="150"/>
    </row>
    <row r="476" spans="8:8" ht="13.2" x14ac:dyDescent="0.25">
      <c r="H476" s="150"/>
    </row>
    <row r="477" spans="8:8" ht="13.2" x14ac:dyDescent="0.25">
      <c r="H477" s="150"/>
    </row>
    <row r="478" spans="8:8" ht="13.2" x14ac:dyDescent="0.25">
      <c r="H478" s="150"/>
    </row>
    <row r="479" spans="8:8" ht="13.2" x14ac:dyDescent="0.25">
      <c r="H479" s="150"/>
    </row>
    <row r="480" spans="8:8" ht="13.2" x14ac:dyDescent="0.25">
      <c r="H480" s="150"/>
    </row>
    <row r="481" spans="8:8" ht="13.2" x14ac:dyDescent="0.25">
      <c r="H481" s="150"/>
    </row>
    <row r="482" spans="8:8" ht="13.2" x14ac:dyDescent="0.25">
      <c r="H482" s="150"/>
    </row>
    <row r="483" spans="8:8" ht="13.2" x14ac:dyDescent="0.25">
      <c r="H483" s="150"/>
    </row>
    <row r="484" spans="8:8" ht="13.2" x14ac:dyDescent="0.25">
      <c r="H484" s="150"/>
    </row>
    <row r="485" spans="8:8" ht="13.2" x14ac:dyDescent="0.25">
      <c r="H485" s="150"/>
    </row>
    <row r="486" spans="8:8" ht="13.2" x14ac:dyDescent="0.25">
      <c r="H486" s="150"/>
    </row>
    <row r="487" spans="8:8" ht="13.2" x14ac:dyDescent="0.25">
      <c r="H487" s="150"/>
    </row>
    <row r="488" spans="8:8" ht="13.2" x14ac:dyDescent="0.25">
      <c r="H488" s="150"/>
    </row>
    <row r="489" spans="8:8" ht="13.2" x14ac:dyDescent="0.25">
      <c r="H489" s="150"/>
    </row>
    <row r="490" spans="8:8" ht="13.2" x14ac:dyDescent="0.25">
      <c r="H490" s="150"/>
    </row>
    <row r="491" spans="8:8" ht="13.2" x14ac:dyDescent="0.25">
      <c r="H491" s="150"/>
    </row>
    <row r="492" spans="8:8" ht="13.2" x14ac:dyDescent="0.25">
      <c r="H492" s="150"/>
    </row>
    <row r="493" spans="8:8" ht="13.2" x14ac:dyDescent="0.25">
      <c r="H493" s="150"/>
    </row>
    <row r="494" spans="8:8" ht="13.2" x14ac:dyDescent="0.25">
      <c r="H494" s="150"/>
    </row>
    <row r="495" spans="8:8" ht="13.2" x14ac:dyDescent="0.25">
      <c r="H495" s="150"/>
    </row>
    <row r="496" spans="8:8" ht="13.2" x14ac:dyDescent="0.25">
      <c r="H496" s="150"/>
    </row>
    <row r="497" spans="8:8" ht="13.2" x14ac:dyDescent="0.25">
      <c r="H497" s="150"/>
    </row>
    <row r="498" spans="8:8" ht="13.2" x14ac:dyDescent="0.25">
      <c r="H498" s="150"/>
    </row>
    <row r="499" spans="8:8" ht="13.2" x14ac:dyDescent="0.25">
      <c r="H499" s="150"/>
    </row>
    <row r="500" spans="8:8" ht="13.2" x14ac:dyDescent="0.25">
      <c r="H500" s="150"/>
    </row>
    <row r="501" spans="8:8" ht="13.2" x14ac:dyDescent="0.25">
      <c r="H501" s="150"/>
    </row>
    <row r="502" spans="8:8" ht="13.2" x14ac:dyDescent="0.25">
      <c r="H502" s="150"/>
    </row>
    <row r="503" spans="8:8" ht="13.2" x14ac:dyDescent="0.25">
      <c r="H503" s="150"/>
    </row>
    <row r="504" spans="8:8" ht="13.2" x14ac:dyDescent="0.25">
      <c r="H504" s="150"/>
    </row>
    <row r="505" spans="8:8" ht="13.2" x14ac:dyDescent="0.25">
      <c r="H505" s="150"/>
    </row>
    <row r="506" spans="8:8" ht="13.2" x14ac:dyDescent="0.25">
      <c r="H506" s="150"/>
    </row>
    <row r="507" spans="8:8" ht="13.2" x14ac:dyDescent="0.25">
      <c r="H507" s="150"/>
    </row>
    <row r="508" spans="8:8" ht="13.2" x14ac:dyDescent="0.25">
      <c r="H508" s="150"/>
    </row>
    <row r="509" spans="8:8" ht="13.2" x14ac:dyDescent="0.25">
      <c r="H509" s="150"/>
    </row>
    <row r="510" spans="8:8" ht="13.2" x14ac:dyDescent="0.25">
      <c r="H510" s="150"/>
    </row>
    <row r="511" spans="8:8" ht="13.2" x14ac:dyDescent="0.25">
      <c r="H511" s="150"/>
    </row>
    <row r="512" spans="8:8" ht="13.2" x14ac:dyDescent="0.25">
      <c r="H512" s="150"/>
    </row>
    <row r="513" spans="8:8" ht="13.2" x14ac:dyDescent="0.25">
      <c r="H513" s="150"/>
    </row>
    <row r="514" spans="8:8" ht="13.2" x14ac:dyDescent="0.25">
      <c r="H514" s="150"/>
    </row>
    <row r="515" spans="8:8" ht="13.2" x14ac:dyDescent="0.25">
      <c r="H515" s="150"/>
    </row>
    <row r="516" spans="8:8" ht="13.2" x14ac:dyDescent="0.25">
      <c r="H516" s="150"/>
    </row>
    <row r="517" spans="8:8" ht="13.2" x14ac:dyDescent="0.25">
      <c r="H517" s="150"/>
    </row>
    <row r="518" spans="8:8" ht="13.2" x14ac:dyDescent="0.25">
      <c r="H518" s="150"/>
    </row>
    <row r="519" spans="8:8" ht="13.2" x14ac:dyDescent="0.25">
      <c r="H519" s="150"/>
    </row>
    <row r="520" spans="8:8" ht="13.2" x14ac:dyDescent="0.25">
      <c r="H520" s="150"/>
    </row>
    <row r="521" spans="8:8" ht="13.2" x14ac:dyDescent="0.25">
      <c r="H521" s="150"/>
    </row>
    <row r="522" spans="8:8" ht="13.2" x14ac:dyDescent="0.25">
      <c r="H522" s="150"/>
    </row>
    <row r="523" spans="8:8" ht="13.2" x14ac:dyDescent="0.25">
      <c r="H523" s="150"/>
    </row>
    <row r="524" spans="8:8" ht="13.2" x14ac:dyDescent="0.25">
      <c r="H524" s="150"/>
    </row>
    <row r="525" spans="8:8" ht="13.2" x14ac:dyDescent="0.25">
      <c r="H525" s="150"/>
    </row>
    <row r="526" spans="8:8" ht="13.2" x14ac:dyDescent="0.25">
      <c r="H526" s="150"/>
    </row>
    <row r="527" spans="8:8" ht="13.2" x14ac:dyDescent="0.25">
      <c r="H527" s="150"/>
    </row>
    <row r="528" spans="8:8" ht="13.2" x14ac:dyDescent="0.25">
      <c r="H528" s="150"/>
    </row>
    <row r="529" spans="8:8" ht="13.2" x14ac:dyDescent="0.25">
      <c r="H529" s="150"/>
    </row>
    <row r="530" spans="8:8" ht="13.2" x14ac:dyDescent="0.25">
      <c r="H530" s="150"/>
    </row>
    <row r="531" spans="8:8" ht="13.2" x14ac:dyDescent="0.25">
      <c r="H531" s="150"/>
    </row>
    <row r="532" spans="8:8" ht="13.2" x14ac:dyDescent="0.25">
      <c r="H532" s="150"/>
    </row>
    <row r="533" spans="8:8" ht="13.2" x14ac:dyDescent="0.25">
      <c r="H533" s="150"/>
    </row>
    <row r="534" spans="8:8" ht="13.2" x14ac:dyDescent="0.25">
      <c r="H534" s="150"/>
    </row>
    <row r="535" spans="8:8" ht="13.2" x14ac:dyDescent="0.25">
      <c r="H535" s="150"/>
    </row>
    <row r="536" spans="8:8" ht="13.2" x14ac:dyDescent="0.25">
      <c r="H536" s="150"/>
    </row>
    <row r="537" spans="8:8" ht="13.2" x14ac:dyDescent="0.25">
      <c r="H537" s="150"/>
    </row>
    <row r="538" spans="8:8" ht="13.2" x14ac:dyDescent="0.25">
      <c r="H538" s="150"/>
    </row>
    <row r="539" spans="8:8" ht="13.2" x14ac:dyDescent="0.25">
      <c r="H539" s="150"/>
    </row>
    <row r="540" spans="8:8" ht="13.2" x14ac:dyDescent="0.25">
      <c r="H540" s="150"/>
    </row>
    <row r="541" spans="8:8" ht="13.2" x14ac:dyDescent="0.25">
      <c r="H541" s="150"/>
    </row>
    <row r="542" spans="8:8" ht="13.2" x14ac:dyDescent="0.25">
      <c r="H542" s="150"/>
    </row>
    <row r="543" spans="8:8" ht="13.2" x14ac:dyDescent="0.25">
      <c r="H543" s="150"/>
    </row>
    <row r="544" spans="8:8" ht="13.2" x14ac:dyDescent="0.25">
      <c r="H544" s="150"/>
    </row>
    <row r="545" spans="8:8" ht="13.2" x14ac:dyDescent="0.25">
      <c r="H545" s="150"/>
    </row>
    <row r="546" spans="8:8" ht="13.2" x14ac:dyDescent="0.25">
      <c r="H546" s="150"/>
    </row>
    <row r="547" spans="8:8" ht="13.2" x14ac:dyDescent="0.25">
      <c r="H547" s="150"/>
    </row>
    <row r="548" spans="8:8" ht="13.2" x14ac:dyDescent="0.25">
      <c r="H548" s="150"/>
    </row>
    <row r="549" spans="8:8" ht="13.2" x14ac:dyDescent="0.25">
      <c r="H549" s="150"/>
    </row>
    <row r="550" spans="8:8" ht="13.2" x14ac:dyDescent="0.25">
      <c r="H550" s="150"/>
    </row>
    <row r="551" spans="8:8" ht="13.2" x14ac:dyDescent="0.25">
      <c r="H551" s="150"/>
    </row>
    <row r="552" spans="8:8" ht="13.2" x14ac:dyDescent="0.25">
      <c r="H552" s="150"/>
    </row>
    <row r="553" spans="8:8" ht="13.2" x14ac:dyDescent="0.25">
      <c r="H553" s="150"/>
    </row>
    <row r="554" spans="8:8" ht="13.2" x14ac:dyDescent="0.25">
      <c r="H554" s="150"/>
    </row>
    <row r="555" spans="8:8" ht="13.2" x14ac:dyDescent="0.25">
      <c r="H555" s="150"/>
    </row>
    <row r="556" spans="8:8" ht="13.2" x14ac:dyDescent="0.25">
      <c r="H556" s="150"/>
    </row>
    <row r="557" spans="8:8" ht="13.2" x14ac:dyDescent="0.25">
      <c r="H557" s="150"/>
    </row>
    <row r="558" spans="8:8" ht="13.2" x14ac:dyDescent="0.25">
      <c r="H558" s="150"/>
    </row>
    <row r="559" spans="8:8" ht="13.2" x14ac:dyDescent="0.25">
      <c r="H559" s="150"/>
    </row>
    <row r="560" spans="8:8" ht="13.2" x14ac:dyDescent="0.25">
      <c r="H560" s="150"/>
    </row>
    <row r="561" spans="8:8" ht="13.2" x14ac:dyDescent="0.25">
      <c r="H561" s="150"/>
    </row>
    <row r="562" spans="8:8" ht="13.2" x14ac:dyDescent="0.25">
      <c r="H562" s="150"/>
    </row>
    <row r="563" spans="8:8" ht="13.2" x14ac:dyDescent="0.25">
      <c r="H563" s="150"/>
    </row>
    <row r="564" spans="8:8" ht="13.2" x14ac:dyDescent="0.25">
      <c r="H564" s="150"/>
    </row>
    <row r="565" spans="8:8" ht="13.2" x14ac:dyDescent="0.25">
      <c r="H565" s="150"/>
    </row>
    <row r="566" spans="8:8" ht="13.2" x14ac:dyDescent="0.25">
      <c r="H566" s="150"/>
    </row>
    <row r="567" spans="8:8" ht="13.2" x14ac:dyDescent="0.25">
      <c r="H567" s="150"/>
    </row>
    <row r="568" spans="8:8" ht="13.2" x14ac:dyDescent="0.25">
      <c r="H568" s="150"/>
    </row>
    <row r="569" spans="8:8" ht="13.2" x14ac:dyDescent="0.25">
      <c r="H569" s="150"/>
    </row>
    <row r="570" spans="8:8" ht="13.2" x14ac:dyDescent="0.25">
      <c r="H570" s="150"/>
    </row>
    <row r="571" spans="8:8" ht="13.2" x14ac:dyDescent="0.25">
      <c r="H571" s="150"/>
    </row>
    <row r="572" spans="8:8" ht="13.2" x14ac:dyDescent="0.25">
      <c r="H572" s="150"/>
    </row>
    <row r="573" spans="8:8" ht="13.2" x14ac:dyDescent="0.25">
      <c r="H573" s="150"/>
    </row>
    <row r="574" spans="8:8" ht="13.2" x14ac:dyDescent="0.25">
      <c r="H574" s="150"/>
    </row>
    <row r="575" spans="8:8" ht="13.2" x14ac:dyDescent="0.25">
      <c r="H575" s="150"/>
    </row>
    <row r="576" spans="8:8" ht="13.2" x14ac:dyDescent="0.25">
      <c r="H576" s="150"/>
    </row>
    <row r="577" spans="8:8" ht="13.2" x14ac:dyDescent="0.25">
      <c r="H577" s="150"/>
    </row>
    <row r="578" spans="8:8" ht="13.2" x14ac:dyDescent="0.25">
      <c r="H578" s="150"/>
    </row>
    <row r="579" spans="8:8" ht="13.2" x14ac:dyDescent="0.25">
      <c r="H579" s="150"/>
    </row>
    <row r="580" spans="8:8" ht="13.2" x14ac:dyDescent="0.25">
      <c r="H580" s="150"/>
    </row>
    <row r="581" spans="8:8" ht="13.2" x14ac:dyDescent="0.25">
      <c r="H581" s="150"/>
    </row>
    <row r="582" spans="8:8" ht="13.2" x14ac:dyDescent="0.25">
      <c r="H582" s="150"/>
    </row>
    <row r="583" spans="8:8" ht="13.2" x14ac:dyDescent="0.25">
      <c r="H583" s="150"/>
    </row>
    <row r="584" spans="8:8" ht="13.2" x14ac:dyDescent="0.25">
      <c r="H584" s="150"/>
    </row>
    <row r="585" spans="8:8" ht="13.2" x14ac:dyDescent="0.25">
      <c r="H585" s="150"/>
    </row>
    <row r="586" spans="8:8" ht="13.2" x14ac:dyDescent="0.25">
      <c r="H586" s="150"/>
    </row>
    <row r="587" spans="8:8" ht="13.2" x14ac:dyDescent="0.25">
      <c r="H587" s="150"/>
    </row>
    <row r="588" spans="8:8" ht="13.2" x14ac:dyDescent="0.25">
      <c r="H588" s="150"/>
    </row>
    <row r="589" spans="8:8" ht="13.2" x14ac:dyDescent="0.25">
      <c r="H589" s="150"/>
    </row>
    <row r="590" spans="8:8" ht="13.2" x14ac:dyDescent="0.25">
      <c r="H590" s="150"/>
    </row>
    <row r="591" spans="8:8" ht="13.2" x14ac:dyDescent="0.25">
      <c r="H591" s="150"/>
    </row>
    <row r="592" spans="8:8" ht="13.2" x14ac:dyDescent="0.25">
      <c r="H592" s="150"/>
    </row>
    <row r="593" spans="8:8" ht="13.2" x14ac:dyDescent="0.25">
      <c r="H593" s="150"/>
    </row>
    <row r="594" spans="8:8" ht="13.2" x14ac:dyDescent="0.25">
      <c r="H594" s="150"/>
    </row>
    <row r="595" spans="8:8" ht="13.2" x14ac:dyDescent="0.25">
      <c r="H595" s="150"/>
    </row>
    <row r="596" spans="8:8" ht="13.2" x14ac:dyDescent="0.25">
      <c r="H596" s="150"/>
    </row>
    <row r="597" spans="8:8" ht="13.2" x14ac:dyDescent="0.25">
      <c r="H597" s="150"/>
    </row>
    <row r="598" spans="8:8" ht="13.2" x14ac:dyDescent="0.25">
      <c r="H598" s="150"/>
    </row>
    <row r="599" spans="8:8" ht="13.2" x14ac:dyDescent="0.25">
      <c r="H599" s="150"/>
    </row>
    <row r="600" spans="8:8" ht="13.2" x14ac:dyDescent="0.25">
      <c r="H600" s="150"/>
    </row>
    <row r="601" spans="8:8" ht="13.2" x14ac:dyDescent="0.25">
      <c r="H601" s="150"/>
    </row>
    <row r="602" spans="8:8" ht="13.2" x14ac:dyDescent="0.25">
      <c r="H602" s="150"/>
    </row>
    <row r="603" spans="8:8" ht="13.2" x14ac:dyDescent="0.25">
      <c r="H603" s="150"/>
    </row>
    <row r="604" spans="8:8" ht="13.2" x14ac:dyDescent="0.25">
      <c r="H604" s="150"/>
    </row>
    <row r="605" spans="8:8" ht="13.2" x14ac:dyDescent="0.25">
      <c r="H605" s="150"/>
    </row>
    <row r="606" spans="8:8" ht="13.2" x14ac:dyDescent="0.25">
      <c r="H606" s="150"/>
    </row>
    <row r="607" spans="8:8" ht="13.2" x14ac:dyDescent="0.25">
      <c r="H607" s="150"/>
    </row>
    <row r="608" spans="8:8" ht="13.2" x14ac:dyDescent="0.25">
      <c r="H608" s="150"/>
    </row>
    <row r="609" spans="8:8" ht="13.2" x14ac:dyDescent="0.25">
      <c r="H609" s="150"/>
    </row>
    <row r="610" spans="8:8" ht="13.2" x14ac:dyDescent="0.25">
      <c r="H610" s="150"/>
    </row>
    <row r="611" spans="8:8" ht="13.2" x14ac:dyDescent="0.25">
      <c r="H611" s="150"/>
    </row>
    <row r="612" spans="8:8" ht="13.2" x14ac:dyDescent="0.25">
      <c r="H612" s="150"/>
    </row>
    <row r="613" spans="8:8" ht="13.2" x14ac:dyDescent="0.25">
      <c r="H613" s="150"/>
    </row>
    <row r="614" spans="8:8" ht="13.2" x14ac:dyDescent="0.25">
      <c r="H614" s="150"/>
    </row>
    <row r="615" spans="8:8" ht="13.2" x14ac:dyDescent="0.25">
      <c r="H615" s="150"/>
    </row>
    <row r="616" spans="8:8" ht="13.2" x14ac:dyDescent="0.25">
      <c r="H616" s="150"/>
    </row>
    <row r="617" spans="8:8" ht="13.2" x14ac:dyDescent="0.25">
      <c r="H617" s="150"/>
    </row>
    <row r="618" spans="8:8" ht="13.2" x14ac:dyDescent="0.25">
      <c r="H618" s="150"/>
    </row>
    <row r="619" spans="8:8" ht="13.2" x14ac:dyDescent="0.25">
      <c r="H619" s="150"/>
    </row>
    <row r="620" spans="8:8" ht="13.2" x14ac:dyDescent="0.25">
      <c r="H620" s="150"/>
    </row>
    <row r="621" spans="8:8" ht="13.2" x14ac:dyDescent="0.25">
      <c r="H621" s="150"/>
    </row>
    <row r="622" spans="8:8" ht="13.2" x14ac:dyDescent="0.25">
      <c r="H622" s="150"/>
    </row>
    <row r="623" spans="8:8" ht="13.2" x14ac:dyDescent="0.25">
      <c r="H623" s="150"/>
    </row>
    <row r="624" spans="8:8" ht="13.2" x14ac:dyDescent="0.25">
      <c r="H624" s="150"/>
    </row>
    <row r="625" spans="8:8" ht="13.2" x14ac:dyDescent="0.25">
      <c r="H625" s="150"/>
    </row>
    <row r="626" spans="8:8" ht="13.2" x14ac:dyDescent="0.25">
      <c r="H626" s="150"/>
    </row>
    <row r="627" spans="8:8" ht="13.2" x14ac:dyDescent="0.25">
      <c r="H627" s="150"/>
    </row>
    <row r="628" spans="8:8" ht="13.2" x14ac:dyDescent="0.25">
      <c r="H628" s="150"/>
    </row>
    <row r="629" spans="8:8" ht="13.2" x14ac:dyDescent="0.25">
      <c r="H629" s="150"/>
    </row>
    <row r="630" spans="8:8" ht="13.2" x14ac:dyDescent="0.25">
      <c r="H630" s="150"/>
    </row>
    <row r="631" spans="8:8" ht="13.2" x14ac:dyDescent="0.25">
      <c r="H631" s="150"/>
    </row>
    <row r="632" spans="8:8" ht="13.2" x14ac:dyDescent="0.25">
      <c r="H632" s="150"/>
    </row>
    <row r="633" spans="8:8" ht="13.2" x14ac:dyDescent="0.25">
      <c r="H633" s="150"/>
    </row>
    <row r="634" spans="8:8" ht="13.2" x14ac:dyDescent="0.25">
      <c r="H634" s="150"/>
    </row>
    <row r="635" spans="8:8" ht="13.2" x14ac:dyDescent="0.25">
      <c r="H635" s="150"/>
    </row>
    <row r="636" spans="8:8" ht="13.2" x14ac:dyDescent="0.25">
      <c r="H636" s="150"/>
    </row>
    <row r="637" spans="8:8" ht="13.2" x14ac:dyDescent="0.25">
      <c r="H637" s="150"/>
    </row>
    <row r="638" spans="8:8" ht="13.2" x14ac:dyDescent="0.25">
      <c r="H638" s="150"/>
    </row>
    <row r="639" spans="8:8" ht="13.2" x14ac:dyDescent="0.25">
      <c r="H639" s="150"/>
    </row>
    <row r="640" spans="8:8" ht="13.2" x14ac:dyDescent="0.25">
      <c r="H640" s="150"/>
    </row>
    <row r="641" spans="8:8" ht="13.2" x14ac:dyDescent="0.25">
      <c r="H641" s="150"/>
    </row>
    <row r="642" spans="8:8" ht="13.2" x14ac:dyDescent="0.25">
      <c r="H642" s="150"/>
    </row>
    <row r="643" spans="8:8" ht="13.2" x14ac:dyDescent="0.25">
      <c r="H643" s="150"/>
    </row>
    <row r="644" spans="8:8" ht="13.2" x14ac:dyDescent="0.25">
      <c r="H644" s="150"/>
    </row>
    <row r="645" spans="8:8" ht="13.2" x14ac:dyDescent="0.25">
      <c r="H645" s="150"/>
    </row>
    <row r="646" spans="8:8" ht="13.2" x14ac:dyDescent="0.25">
      <c r="H646" s="150"/>
    </row>
    <row r="647" spans="8:8" ht="13.2" x14ac:dyDescent="0.25">
      <c r="H647" s="150"/>
    </row>
    <row r="648" spans="8:8" ht="13.2" x14ac:dyDescent="0.25">
      <c r="H648" s="150"/>
    </row>
    <row r="649" spans="8:8" ht="13.2" x14ac:dyDescent="0.25">
      <c r="H649" s="150"/>
    </row>
    <row r="650" spans="8:8" ht="13.2" x14ac:dyDescent="0.25">
      <c r="H650" s="150"/>
    </row>
    <row r="651" spans="8:8" ht="13.2" x14ac:dyDescent="0.25">
      <c r="H651" s="150"/>
    </row>
    <row r="652" spans="8:8" ht="13.2" x14ac:dyDescent="0.25">
      <c r="H652" s="150"/>
    </row>
    <row r="653" spans="8:8" ht="13.2" x14ac:dyDescent="0.25">
      <c r="H653" s="150"/>
    </row>
    <row r="654" spans="8:8" ht="13.2" x14ac:dyDescent="0.25">
      <c r="H654" s="150"/>
    </row>
    <row r="655" spans="8:8" ht="13.2" x14ac:dyDescent="0.25">
      <c r="H655" s="150"/>
    </row>
    <row r="656" spans="8:8" ht="13.2" x14ac:dyDescent="0.25">
      <c r="H656" s="150"/>
    </row>
    <row r="657" spans="8:8" ht="13.2" x14ac:dyDescent="0.25">
      <c r="H657" s="150"/>
    </row>
    <row r="658" spans="8:8" ht="13.2" x14ac:dyDescent="0.25">
      <c r="H658" s="150"/>
    </row>
    <row r="659" spans="8:8" ht="13.2" x14ac:dyDescent="0.25">
      <c r="H659" s="150"/>
    </row>
    <row r="660" spans="8:8" ht="13.2" x14ac:dyDescent="0.25">
      <c r="H660" s="150"/>
    </row>
    <row r="661" spans="8:8" ht="13.2" x14ac:dyDescent="0.25">
      <c r="H661" s="150"/>
    </row>
    <row r="662" spans="8:8" ht="13.2" x14ac:dyDescent="0.25">
      <c r="H662" s="150"/>
    </row>
    <row r="663" spans="8:8" ht="13.2" x14ac:dyDescent="0.25">
      <c r="H663" s="150"/>
    </row>
    <row r="664" spans="8:8" ht="13.2" x14ac:dyDescent="0.25">
      <c r="H664" s="150"/>
    </row>
    <row r="665" spans="8:8" ht="13.2" x14ac:dyDescent="0.25">
      <c r="H665" s="150"/>
    </row>
    <row r="666" spans="8:8" ht="13.2" x14ac:dyDescent="0.25">
      <c r="H666" s="150"/>
    </row>
    <row r="667" spans="8:8" ht="13.2" x14ac:dyDescent="0.25">
      <c r="H667" s="150"/>
    </row>
    <row r="668" spans="8:8" ht="13.2" x14ac:dyDescent="0.25">
      <c r="H668" s="150"/>
    </row>
    <row r="669" spans="8:8" ht="13.2" x14ac:dyDescent="0.25">
      <c r="H669" s="150"/>
    </row>
    <row r="670" spans="8:8" ht="13.2" x14ac:dyDescent="0.25">
      <c r="H670" s="150"/>
    </row>
    <row r="671" spans="8:8" ht="13.2" x14ac:dyDescent="0.25">
      <c r="H671" s="150"/>
    </row>
    <row r="672" spans="8:8" ht="13.2" x14ac:dyDescent="0.25">
      <c r="H672" s="150"/>
    </row>
    <row r="673" spans="8:8" ht="13.2" x14ac:dyDescent="0.25">
      <c r="H673" s="150"/>
    </row>
    <row r="674" spans="8:8" ht="13.2" x14ac:dyDescent="0.25">
      <c r="H674" s="150"/>
    </row>
    <row r="675" spans="8:8" ht="13.2" x14ac:dyDescent="0.25">
      <c r="H675" s="150"/>
    </row>
    <row r="676" spans="8:8" ht="13.2" x14ac:dyDescent="0.25">
      <c r="H676" s="150"/>
    </row>
    <row r="677" spans="8:8" ht="13.2" x14ac:dyDescent="0.25">
      <c r="H677" s="150"/>
    </row>
    <row r="678" spans="8:8" ht="13.2" x14ac:dyDescent="0.25">
      <c r="H678" s="150"/>
    </row>
    <row r="679" spans="8:8" ht="13.2" x14ac:dyDescent="0.25">
      <c r="H679" s="150"/>
    </row>
    <row r="680" spans="8:8" ht="13.2" x14ac:dyDescent="0.25">
      <c r="H680" s="150"/>
    </row>
    <row r="681" spans="8:8" ht="13.2" x14ac:dyDescent="0.25">
      <c r="H681" s="150"/>
    </row>
    <row r="682" spans="8:8" ht="13.2" x14ac:dyDescent="0.25">
      <c r="H682" s="150"/>
    </row>
    <row r="683" spans="8:8" ht="13.2" x14ac:dyDescent="0.25">
      <c r="H683" s="150"/>
    </row>
    <row r="684" spans="8:8" ht="13.2" x14ac:dyDescent="0.25">
      <c r="H684" s="150"/>
    </row>
    <row r="685" spans="8:8" ht="13.2" x14ac:dyDescent="0.25">
      <c r="H685" s="150"/>
    </row>
    <row r="686" spans="8:8" ht="13.2" x14ac:dyDescent="0.25">
      <c r="H686" s="150"/>
    </row>
    <row r="687" spans="8:8" ht="13.2" x14ac:dyDescent="0.25">
      <c r="H687" s="150"/>
    </row>
    <row r="688" spans="8:8" ht="13.2" x14ac:dyDescent="0.25">
      <c r="H688" s="150"/>
    </row>
    <row r="689" spans="8:8" ht="13.2" x14ac:dyDescent="0.25">
      <c r="H689" s="150"/>
    </row>
    <row r="690" spans="8:8" ht="13.2" x14ac:dyDescent="0.25">
      <c r="H690" s="150"/>
    </row>
    <row r="691" spans="8:8" ht="13.2" x14ac:dyDescent="0.25">
      <c r="H691" s="150"/>
    </row>
    <row r="692" spans="8:8" ht="13.2" x14ac:dyDescent="0.25">
      <c r="H692" s="150"/>
    </row>
    <row r="693" spans="8:8" ht="13.2" x14ac:dyDescent="0.25">
      <c r="H693" s="150"/>
    </row>
    <row r="694" spans="8:8" ht="13.2" x14ac:dyDescent="0.25">
      <c r="H694" s="150"/>
    </row>
    <row r="695" spans="8:8" ht="13.2" x14ac:dyDescent="0.25">
      <c r="H695" s="150"/>
    </row>
    <row r="696" spans="8:8" ht="13.2" x14ac:dyDescent="0.25">
      <c r="H696" s="150"/>
    </row>
    <row r="697" spans="8:8" ht="13.2" x14ac:dyDescent="0.25">
      <c r="H697" s="150"/>
    </row>
    <row r="698" spans="8:8" ht="13.2" x14ac:dyDescent="0.25">
      <c r="H698" s="150"/>
    </row>
    <row r="699" spans="8:8" ht="13.2" x14ac:dyDescent="0.25">
      <c r="H699" s="150"/>
    </row>
    <row r="700" spans="8:8" ht="13.2" x14ac:dyDescent="0.25">
      <c r="H700" s="150"/>
    </row>
    <row r="701" spans="8:8" ht="13.2" x14ac:dyDescent="0.25">
      <c r="H701" s="150"/>
    </row>
    <row r="702" spans="8:8" ht="13.2" x14ac:dyDescent="0.25">
      <c r="H702" s="150"/>
    </row>
    <row r="703" spans="8:8" ht="13.2" x14ac:dyDescent="0.25">
      <c r="H703" s="150"/>
    </row>
    <row r="704" spans="8:8" ht="13.2" x14ac:dyDescent="0.25">
      <c r="H704" s="150"/>
    </row>
    <row r="705" spans="8:8" ht="13.2" x14ac:dyDescent="0.25">
      <c r="H705" s="150"/>
    </row>
    <row r="706" spans="8:8" ht="13.2" x14ac:dyDescent="0.25">
      <c r="H706" s="150"/>
    </row>
    <row r="707" spans="8:8" ht="13.2" x14ac:dyDescent="0.25">
      <c r="H707" s="150"/>
    </row>
    <row r="708" spans="8:8" ht="13.2" x14ac:dyDescent="0.25">
      <c r="H708" s="150"/>
    </row>
    <row r="709" spans="8:8" ht="13.2" x14ac:dyDescent="0.25">
      <c r="H709" s="150"/>
    </row>
    <row r="710" spans="8:8" ht="13.2" x14ac:dyDescent="0.25">
      <c r="H710" s="150"/>
    </row>
    <row r="711" spans="8:8" ht="13.2" x14ac:dyDescent="0.25">
      <c r="H711" s="150"/>
    </row>
    <row r="712" spans="8:8" ht="13.2" x14ac:dyDescent="0.25">
      <c r="H712" s="150"/>
    </row>
    <row r="713" spans="8:8" ht="13.2" x14ac:dyDescent="0.25">
      <c r="H713" s="150"/>
    </row>
    <row r="714" spans="8:8" ht="13.2" x14ac:dyDescent="0.25">
      <c r="H714" s="150"/>
    </row>
    <row r="715" spans="8:8" ht="13.2" x14ac:dyDescent="0.25">
      <c r="H715" s="150"/>
    </row>
    <row r="716" spans="8:8" ht="13.2" x14ac:dyDescent="0.25">
      <c r="H716" s="150"/>
    </row>
    <row r="717" spans="8:8" ht="13.2" x14ac:dyDescent="0.25">
      <c r="H717" s="150"/>
    </row>
    <row r="718" spans="8:8" ht="13.2" x14ac:dyDescent="0.25">
      <c r="H718" s="150"/>
    </row>
    <row r="719" spans="8:8" ht="13.2" x14ac:dyDescent="0.25">
      <c r="H719" s="150"/>
    </row>
    <row r="720" spans="8:8" ht="13.2" x14ac:dyDescent="0.25">
      <c r="H720" s="150"/>
    </row>
    <row r="721" spans="8:8" ht="13.2" x14ac:dyDescent="0.25">
      <c r="H721" s="150"/>
    </row>
    <row r="722" spans="8:8" ht="13.2" x14ac:dyDescent="0.25">
      <c r="H722" s="150"/>
    </row>
    <row r="723" spans="8:8" ht="13.2" x14ac:dyDescent="0.25">
      <c r="H723" s="150"/>
    </row>
    <row r="724" spans="8:8" ht="13.2" x14ac:dyDescent="0.25">
      <c r="H724" s="150"/>
    </row>
    <row r="725" spans="8:8" ht="13.2" x14ac:dyDescent="0.25">
      <c r="H725" s="150"/>
    </row>
    <row r="726" spans="8:8" ht="13.2" x14ac:dyDescent="0.25">
      <c r="H726" s="150"/>
    </row>
    <row r="727" spans="8:8" ht="13.2" x14ac:dyDescent="0.25">
      <c r="H727" s="150"/>
    </row>
    <row r="728" spans="8:8" ht="13.2" x14ac:dyDescent="0.25">
      <c r="H728" s="150"/>
    </row>
    <row r="729" spans="8:8" ht="13.2" x14ac:dyDescent="0.25">
      <c r="H729" s="150"/>
    </row>
    <row r="730" spans="8:8" ht="13.2" x14ac:dyDescent="0.25">
      <c r="H730" s="150"/>
    </row>
    <row r="731" spans="8:8" ht="13.2" x14ac:dyDescent="0.25">
      <c r="H731" s="150"/>
    </row>
    <row r="732" spans="8:8" ht="13.2" x14ac:dyDescent="0.25">
      <c r="H732" s="150"/>
    </row>
    <row r="733" spans="8:8" ht="13.2" x14ac:dyDescent="0.25">
      <c r="H733" s="150"/>
    </row>
    <row r="734" spans="8:8" ht="13.2" x14ac:dyDescent="0.25">
      <c r="H734" s="150"/>
    </row>
    <row r="735" spans="8:8" ht="13.2" x14ac:dyDescent="0.25">
      <c r="H735" s="150"/>
    </row>
    <row r="736" spans="8:8" ht="13.2" x14ac:dyDescent="0.25">
      <c r="H736" s="150"/>
    </row>
    <row r="737" spans="8:8" ht="13.2" x14ac:dyDescent="0.25">
      <c r="H737" s="150"/>
    </row>
    <row r="738" spans="8:8" ht="13.2" x14ac:dyDescent="0.25">
      <c r="H738" s="150"/>
    </row>
    <row r="739" spans="8:8" ht="13.2" x14ac:dyDescent="0.25">
      <c r="H739" s="150"/>
    </row>
    <row r="740" spans="8:8" ht="13.2" x14ac:dyDescent="0.25">
      <c r="H740" s="150"/>
    </row>
    <row r="741" spans="8:8" ht="13.2" x14ac:dyDescent="0.25">
      <c r="H741" s="150"/>
    </row>
    <row r="742" spans="8:8" ht="13.2" x14ac:dyDescent="0.25">
      <c r="H742" s="150"/>
    </row>
    <row r="743" spans="8:8" ht="13.2" x14ac:dyDescent="0.25">
      <c r="H743" s="150"/>
    </row>
    <row r="744" spans="8:8" ht="13.2" x14ac:dyDescent="0.25">
      <c r="H744" s="150"/>
    </row>
    <row r="745" spans="8:8" ht="13.2" x14ac:dyDescent="0.25">
      <c r="H745" s="150"/>
    </row>
    <row r="746" spans="8:8" ht="13.2" x14ac:dyDescent="0.25">
      <c r="H746" s="150"/>
    </row>
    <row r="747" spans="8:8" ht="13.2" x14ac:dyDescent="0.25">
      <c r="H747" s="150"/>
    </row>
    <row r="748" spans="8:8" ht="13.2" x14ac:dyDescent="0.25">
      <c r="H748" s="150"/>
    </row>
    <row r="749" spans="8:8" ht="13.2" x14ac:dyDescent="0.25">
      <c r="H749" s="150"/>
    </row>
    <row r="750" spans="8:8" ht="13.2" x14ac:dyDescent="0.25">
      <c r="H750" s="150"/>
    </row>
    <row r="751" spans="8:8" ht="13.2" x14ac:dyDescent="0.25">
      <c r="H751" s="150"/>
    </row>
    <row r="752" spans="8:8" ht="13.2" x14ac:dyDescent="0.25">
      <c r="H752" s="150"/>
    </row>
    <row r="753" spans="8:8" ht="13.2" x14ac:dyDescent="0.25">
      <c r="H753" s="150"/>
    </row>
    <row r="754" spans="8:8" ht="13.2" x14ac:dyDescent="0.25">
      <c r="H754" s="150"/>
    </row>
    <row r="755" spans="8:8" ht="13.2" x14ac:dyDescent="0.25">
      <c r="H755" s="150"/>
    </row>
    <row r="756" spans="8:8" ht="13.2" x14ac:dyDescent="0.25">
      <c r="H756" s="150"/>
    </row>
    <row r="757" spans="8:8" ht="13.2" x14ac:dyDescent="0.25">
      <c r="H757" s="150"/>
    </row>
    <row r="758" spans="8:8" ht="13.2" x14ac:dyDescent="0.25">
      <c r="H758" s="150"/>
    </row>
    <row r="759" spans="8:8" ht="13.2" x14ac:dyDescent="0.25">
      <c r="H759" s="150"/>
    </row>
    <row r="760" spans="8:8" ht="13.2" x14ac:dyDescent="0.25">
      <c r="H760" s="150"/>
    </row>
    <row r="761" spans="8:8" ht="13.2" x14ac:dyDescent="0.25">
      <c r="H761" s="150"/>
    </row>
    <row r="762" spans="8:8" ht="13.2" x14ac:dyDescent="0.25">
      <c r="H762" s="150"/>
    </row>
    <row r="763" spans="8:8" ht="13.2" x14ac:dyDescent="0.25">
      <c r="H763" s="150"/>
    </row>
    <row r="764" spans="8:8" ht="13.2" x14ac:dyDescent="0.25">
      <c r="H764" s="150"/>
    </row>
    <row r="765" spans="8:8" ht="13.2" x14ac:dyDescent="0.25">
      <c r="H765" s="150"/>
    </row>
    <row r="766" spans="8:8" ht="13.2" x14ac:dyDescent="0.25">
      <c r="H766" s="150"/>
    </row>
    <row r="767" spans="8:8" ht="13.2" x14ac:dyDescent="0.25">
      <c r="H767" s="150"/>
    </row>
    <row r="768" spans="8:8" ht="13.2" x14ac:dyDescent="0.25">
      <c r="H768" s="150"/>
    </row>
    <row r="769" spans="8:8" ht="13.2" x14ac:dyDescent="0.25">
      <c r="H769" s="150"/>
    </row>
    <row r="770" spans="8:8" ht="13.2" x14ac:dyDescent="0.25">
      <c r="H770" s="150"/>
    </row>
    <row r="771" spans="8:8" ht="13.2" x14ac:dyDescent="0.25">
      <c r="H771" s="150"/>
    </row>
    <row r="772" spans="8:8" ht="13.2" x14ac:dyDescent="0.25">
      <c r="H772" s="150"/>
    </row>
    <row r="773" spans="8:8" ht="13.2" x14ac:dyDescent="0.25">
      <c r="H773" s="150"/>
    </row>
    <row r="774" spans="8:8" ht="13.2" x14ac:dyDescent="0.25">
      <c r="H774" s="150"/>
    </row>
    <row r="775" spans="8:8" ht="13.2" x14ac:dyDescent="0.25">
      <c r="H775" s="150"/>
    </row>
    <row r="776" spans="8:8" ht="13.2" x14ac:dyDescent="0.25">
      <c r="H776" s="150"/>
    </row>
    <row r="777" spans="8:8" ht="13.2" x14ac:dyDescent="0.25">
      <c r="H777" s="150"/>
    </row>
    <row r="778" spans="8:8" ht="13.2" x14ac:dyDescent="0.25">
      <c r="H778" s="150"/>
    </row>
    <row r="779" spans="8:8" ht="13.2" x14ac:dyDescent="0.25">
      <c r="H779" s="150"/>
    </row>
    <row r="780" spans="8:8" ht="13.2" x14ac:dyDescent="0.25">
      <c r="H780" s="150"/>
    </row>
    <row r="781" spans="8:8" ht="13.2" x14ac:dyDescent="0.25">
      <c r="H781" s="150"/>
    </row>
    <row r="782" spans="8:8" ht="13.2" x14ac:dyDescent="0.25">
      <c r="H782" s="150"/>
    </row>
    <row r="783" spans="8:8" ht="13.2" x14ac:dyDescent="0.25">
      <c r="H783" s="150"/>
    </row>
    <row r="784" spans="8:8" ht="13.2" x14ac:dyDescent="0.25">
      <c r="H784" s="150"/>
    </row>
    <row r="785" spans="8:8" ht="13.2" x14ac:dyDescent="0.25">
      <c r="H785" s="150"/>
    </row>
    <row r="786" spans="8:8" ht="13.2" x14ac:dyDescent="0.25">
      <c r="H786" s="150"/>
    </row>
    <row r="787" spans="8:8" ht="13.2" x14ac:dyDescent="0.25">
      <c r="H787" s="150"/>
    </row>
    <row r="788" spans="8:8" ht="13.2" x14ac:dyDescent="0.25">
      <c r="H788" s="150"/>
    </row>
    <row r="789" spans="8:8" ht="13.2" x14ac:dyDescent="0.25">
      <c r="H789" s="150"/>
    </row>
    <row r="790" spans="8:8" ht="13.2" x14ac:dyDescent="0.25">
      <c r="H790" s="150"/>
    </row>
    <row r="791" spans="8:8" ht="13.2" x14ac:dyDescent="0.25">
      <c r="H791" s="150"/>
    </row>
    <row r="792" spans="8:8" ht="13.2" x14ac:dyDescent="0.25">
      <c r="H792" s="150"/>
    </row>
    <row r="793" spans="8:8" ht="13.2" x14ac:dyDescent="0.25">
      <c r="H793" s="150"/>
    </row>
    <row r="794" spans="8:8" ht="13.2" x14ac:dyDescent="0.25">
      <c r="H794" s="150"/>
    </row>
    <row r="795" spans="8:8" ht="13.2" x14ac:dyDescent="0.25">
      <c r="H795" s="150"/>
    </row>
    <row r="796" spans="8:8" ht="13.2" x14ac:dyDescent="0.25">
      <c r="H796" s="150"/>
    </row>
    <row r="797" spans="8:8" ht="13.2" x14ac:dyDescent="0.25">
      <c r="H797" s="150"/>
    </row>
    <row r="798" spans="8:8" ht="13.2" x14ac:dyDescent="0.25">
      <c r="H798" s="150"/>
    </row>
    <row r="799" spans="8:8" ht="13.2" x14ac:dyDescent="0.25">
      <c r="H799" s="150"/>
    </row>
    <row r="800" spans="8:8" ht="13.2" x14ac:dyDescent="0.25">
      <c r="H800" s="150"/>
    </row>
    <row r="801" spans="8:8" ht="13.2" x14ac:dyDescent="0.25">
      <c r="H801" s="150"/>
    </row>
    <row r="802" spans="8:8" ht="13.2" x14ac:dyDescent="0.25">
      <c r="H802" s="150"/>
    </row>
    <row r="803" spans="8:8" ht="13.2" x14ac:dyDescent="0.25">
      <c r="H803" s="150"/>
    </row>
    <row r="804" spans="8:8" ht="13.2" x14ac:dyDescent="0.25">
      <c r="H804" s="150"/>
    </row>
    <row r="805" spans="8:8" ht="13.2" x14ac:dyDescent="0.25">
      <c r="H805" s="150"/>
    </row>
    <row r="806" spans="8:8" ht="13.2" x14ac:dyDescent="0.25">
      <c r="H806" s="150"/>
    </row>
    <row r="807" spans="8:8" ht="13.2" x14ac:dyDescent="0.25">
      <c r="H807" s="150"/>
    </row>
    <row r="808" spans="8:8" ht="13.2" x14ac:dyDescent="0.25">
      <c r="H808" s="150"/>
    </row>
    <row r="809" spans="8:8" ht="13.2" x14ac:dyDescent="0.25">
      <c r="H809" s="150"/>
    </row>
    <row r="810" spans="8:8" ht="13.2" x14ac:dyDescent="0.25">
      <c r="H810" s="150"/>
    </row>
    <row r="811" spans="8:8" ht="13.2" x14ac:dyDescent="0.25">
      <c r="H811" s="150"/>
    </row>
    <row r="812" spans="8:8" ht="13.2" x14ac:dyDescent="0.25"/>
    <row r="813" spans="8:8" ht="13.2" x14ac:dyDescent="0.25"/>
    <row r="814" spans="8:8" ht="13.2" x14ac:dyDescent="0.25"/>
    <row r="815" spans="8:8" ht="13.2" x14ac:dyDescent="0.25"/>
    <row r="816" spans="8:8"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3.2" customHeight="1" x14ac:dyDescent="0.25"/>
    <row r="916" ht="13.2" customHeight="1" x14ac:dyDescent="0.25"/>
  </sheetData>
  <sheetProtection algorithmName="SHA-512" hashValue="sSzon5c3vOcd5OWAvLIXXl0YCrnVX0PSGiA6quoWXAU32qyEgSBKXA5F7SQUaHuDBFbc1cxRNORz2teJc5tsuA==" saltValue="MrDJJgS5MyCPkRicfA7f4A==" spinCount="100000" sheet="1" selectLockedCells="1"/>
  <mergeCells count="5">
    <mergeCell ref="C47:F47"/>
    <mergeCell ref="C52:F52"/>
    <mergeCell ref="H2:H3"/>
    <mergeCell ref="B2:D3"/>
    <mergeCell ref="C49:D49"/>
  </mergeCells>
  <dataValidations count="8">
    <dataValidation type="list" allowBlank="1" showInputMessage="1" showErrorMessage="1" sqref="IY65519:IY65520 WVK983023:WVK983024 WLO983023:WLO983024 WBS983023:WBS983024 VRW983023:VRW983024 VIA983023:VIA983024 UYE983023:UYE983024 UOI983023:UOI983024 UEM983023:UEM983024 TUQ983023:TUQ983024 TKU983023:TKU983024 TAY983023:TAY983024 SRC983023:SRC983024 SHG983023:SHG983024 RXK983023:RXK983024 RNO983023:RNO983024 RDS983023:RDS983024 QTW983023:QTW983024 QKA983023:QKA983024 QAE983023:QAE983024 PQI983023:PQI983024 PGM983023:PGM983024 OWQ983023:OWQ983024 OMU983023:OMU983024 OCY983023:OCY983024 NTC983023:NTC983024 NJG983023:NJG983024 MZK983023:MZK983024 MPO983023:MPO983024 MFS983023:MFS983024 LVW983023:LVW983024 LMA983023:LMA983024 LCE983023:LCE983024 KSI983023:KSI983024 KIM983023:KIM983024 JYQ983023:JYQ983024 JOU983023:JOU983024 JEY983023:JEY983024 IVC983023:IVC983024 ILG983023:ILG983024 IBK983023:IBK983024 HRO983023:HRO983024 HHS983023:HHS983024 GXW983023:GXW983024 GOA983023:GOA983024 GEE983023:GEE983024 FUI983023:FUI983024 FKM983023:FKM983024 FAQ983023:FAQ983024 EQU983023:EQU983024 EGY983023:EGY983024 DXC983023:DXC983024 DNG983023:DNG983024 DDK983023:DDK983024 CTO983023:CTO983024 CJS983023:CJS983024 BZW983023:BZW983024 BQA983023:BQA983024 BGE983023:BGE983024 AWI983023:AWI983024 AMM983023:AMM983024 ACQ983023:ACQ983024 SU983023:SU983024 IY983023:IY983024 B983023:B983024 WVK917487:WVK917488 WLO917487:WLO917488 WBS917487:WBS917488 VRW917487:VRW917488 VIA917487:VIA917488 UYE917487:UYE917488 UOI917487:UOI917488 UEM917487:UEM917488 TUQ917487:TUQ917488 TKU917487:TKU917488 TAY917487:TAY917488 SRC917487:SRC917488 SHG917487:SHG917488 RXK917487:RXK917488 RNO917487:RNO917488 RDS917487:RDS917488 QTW917487:QTW917488 QKA917487:QKA917488 QAE917487:QAE917488 PQI917487:PQI917488 PGM917487:PGM917488 OWQ917487:OWQ917488 OMU917487:OMU917488 OCY917487:OCY917488 NTC917487:NTC917488 NJG917487:NJG917488 MZK917487:MZK917488 MPO917487:MPO917488 MFS917487:MFS917488 LVW917487:LVW917488 LMA917487:LMA917488 LCE917487:LCE917488 KSI917487:KSI917488 KIM917487:KIM917488 JYQ917487:JYQ917488 JOU917487:JOU917488 JEY917487:JEY917488 IVC917487:IVC917488 ILG917487:ILG917488 IBK917487:IBK917488 HRO917487:HRO917488 HHS917487:HHS917488 GXW917487:GXW917488 GOA917487:GOA917488 GEE917487:GEE917488 FUI917487:FUI917488 FKM917487:FKM917488 FAQ917487:FAQ917488 EQU917487:EQU917488 EGY917487:EGY917488 DXC917487:DXC917488 DNG917487:DNG917488 DDK917487:DDK917488 CTO917487:CTO917488 CJS917487:CJS917488 BZW917487:BZW917488 BQA917487:BQA917488 BGE917487:BGE917488 AWI917487:AWI917488 AMM917487:AMM917488 ACQ917487:ACQ917488 SU917487:SU917488 IY917487:IY917488 B917487:B917488 WVK851951:WVK851952 WLO851951:WLO851952 WBS851951:WBS851952 VRW851951:VRW851952 VIA851951:VIA851952 UYE851951:UYE851952 UOI851951:UOI851952 UEM851951:UEM851952 TUQ851951:TUQ851952 TKU851951:TKU851952 TAY851951:TAY851952 SRC851951:SRC851952 SHG851951:SHG851952 RXK851951:RXK851952 RNO851951:RNO851952 RDS851951:RDS851952 QTW851951:QTW851952 QKA851951:QKA851952 QAE851951:QAE851952 PQI851951:PQI851952 PGM851951:PGM851952 OWQ851951:OWQ851952 OMU851951:OMU851952 OCY851951:OCY851952 NTC851951:NTC851952 NJG851951:NJG851952 MZK851951:MZK851952 MPO851951:MPO851952 MFS851951:MFS851952 LVW851951:LVW851952 LMA851951:LMA851952 LCE851951:LCE851952 KSI851951:KSI851952 KIM851951:KIM851952 JYQ851951:JYQ851952 JOU851951:JOU851952 JEY851951:JEY851952 IVC851951:IVC851952 ILG851951:ILG851952 IBK851951:IBK851952 HRO851951:HRO851952 HHS851951:HHS851952 GXW851951:GXW851952 GOA851951:GOA851952 GEE851951:GEE851952 FUI851951:FUI851952 FKM851951:FKM851952 FAQ851951:FAQ851952 EQU851951:EQU851952 EGY851951:EGY851952 DXC851951:DXC851952 DNG851951:DNG851952 DDK851951:DDK851952 CTO851951:CTO851952 CJS851951:CJS851952 BZW851951:BZW851952 BQA851951:BQA851952 BGE851951:BGE851952 AWI851951:AWI851952 AMM851951:AMM851952 ACQ851951:ACQ851952 SU851951:SU851952 IY851951:IY851952 B851951:B851952 WVK786415:WVK786416 WLO786415:WLO786416 WBS786415:WBS786416 VRW786415:VRW786416 VIA786415:VIA786416 UYE786415:UYE786416 UOI786415:UOI786416 UEM786415:UEM786416 TUQ786415:TUQ786416 TKU786415:TKU786416 TAY786415:TAY786416 SRC786415:SRC786416 SHG786415:SHG786416 RXK786415:RXK786416 RNO786415:RNO786416 RDS786415:RDS786416 QTW786415:QTW786416 QKA786415:QKA786416 QAE786415:QAE786416 PQI786415:PQI786416 PGM786415:PGM786416 OWQ786415:OWQ786416 OMU786415:OMU786416 OCY786415:OCY786416 NTC786415:NTC786416 NJG786415:NJG786416 MZK786415:MZK786416 MPO786415:MPO786416 MFS786415:MFS786416 LVW786415:LVW786416 LMA786415:LMA786416 LCE786415:LCE786416 KSI786415:KSI786416 KIM786415:KIM786416 JYQ786415:JYQ786416 JOU786415:JOU786416 JEY786415:JEY786416 IVC786415:IVC786416 ILG786415:ILG786416 IBK786415:IBK786416 HRO786415:HRO786416 HHS786415:HHS786416 GXW786415:GXW786416 GOA786415:GOA786416 GEE786415:GEE786416 FUI786415:FUI786416 FKM786415:FKM786416 FAQ786415:FAQ786416 EQU786415:EQU786416 EGY786415:EGY786416 DXC786415:DXC786416 DNG786415:DNG786416 DDK786415:DDK786416 CTO786415:CTO786416 CJS786415:CJS786416 BZW786415:BZW786416 BQA786415:BQA786416 BGE786415:BGE786416 AWI786415:AWI786416 AMM786415:AMM786416 ACQ786415:ACQ786416 SU786415:SU786416 IY786415:IY786416 B786415:B786416 WVK720879:WVK720880 WLO720879:WLO720880 WBS720879:WBS720880 VRW720879:VRW720880 VIA720879:VIA720880 UYE720879:UYE720880 UOI720879:UOI720880 UEM720879:UEM720880 TUQ720879:TUQ720880 TKU720879:TKU720880 TAY720879:TAY720880 SRC720879:SRC720880 SHG720879:SHG720880 RXK720879:RXK720880 RNO720879:RNO720880 RDS720879:RDS720880 QTW720879:QTW720880 QKA720879:QKA720880 QAE720879:QAE720880 PQI720879:PQI720880 PGM720879:PGM720880 OWQ720879:OWQ720880 OMU720879:OMU720880 OCY720879:OCY720880 NTC720879:NTC720880 NJG720879:NJG720880 MZK720879:MZK720880 MPO720879:MPO720880 MFS720879:MFS720880 LVW720879:LVW720880 LMA720879:LMA720880 LCE720879:LCE720880 KSI720879:KSI720880 KIM720879:KIM720880 JYQ720879:JYQ720880 JOU720879:JOU720880 JEY720879:JEY720880 IVC720879:IVC720880 ILG720879:ILG720880 IBK720879:IBK720880 HRO720879:HRO720880 HHS720879:HHS720880 GXW720879:GXW720880 GOA720879:GOA720880 GEE720879:GEE720880 FUI720879:FUI720880 FKM720879:FKM720880 FAQ720879:FAQ720880 EQU720879:EQU720880 EGY720879:EGY720880 DXC720879:DXC720880 DNG720879:DNG720880 DDK720879:DDK720880 CTO720879:CTO720880 CJS720879:CJS720880 BZW720879:BZW720880 BQA720879:BQA720880 BGE720879:BGE720880 AWI720879:AWI720880 AMM720879:AMM720880 ACQ720879:ACQ720880 SU720879:SU720880 IY720879:IY720880 B720879:B720880 WVK655343:WVK655344 WLO655343:WLO655344 WBS655343:WBS655344 VRW655343:VRW655344 VIA655343:VIA655344 UYE655343:UYE655344 UOI655343:UOI655344 UEM655343:UEM655344 TUQ655343:TUQ655344 TKU655343:TKU655344 TAY655343:TAY655344 SRC655343:SRC655344 SHG655343:SHG655344 RXK655343:RXK655344 RNO655343:RNO655344 RDS655343:RDS655344 QTW655343:QTW655344 QKA655343:QKA655344 QAE655343:QAE655344 PQI655343:PQI655344 PGM655343:PGM655344 OWQ655343:OWQ655344 OMU655343:OMU655344 OCY655343:OCY655344 NTC655343:NTC655344 NJG655343:NJG655344 MZK655343:MZK655344 MPO655343:MPO655344 MFS655343:MFS655344 LVW655343:LVW655344 LMA655343:LMA655344 LCE655343:LCE655344 KSI655343:KSI655344 KIM655343:KIM655344 JYQ655343:JYQ655344 JOU655343:JOU655344 JEY655343:JEY655344 IVC655343:IVC655344 ILG655343:ILG655344 IBK655343:IBK655344 HRO655343:HRO655344 HHS655343:HHS655344 GXW655343:GXW655344 GOA655343:GOA655344 GEE655343:GEE655344 FUI655343:FUI655344 FKM655343:FKM655344 FAQ655343:FAQ655344 EQU655343:EQU655344 EGY655343:EGY655344 DXC655343:DXC655344 DNG655343:DNG655344 DDK655343:DDK655344 CTO655343:CTO655344 CJS655343:CJS655344 BZW655343:BZW655344 BQA655343:BQA655344 BGE655343:BGE655344 AWI655343:AWI655344 AMM655343:AMM655344 ACQ655343:ACQ655344 SU655343:SU655344 IY655343:IY655344 B655343:B655344 WVK589807:WVK589808 WLO589807:WLO589808 WBS589807:WBS589808 VRW589807:VRW589808 VIA589807:VIA589808 UYE589807:UYE589808 UOI589807:UOI589808 UEM589807:UEM589808 TUQ589807:TUQ589808 TKU589807:TKU589808 TAY589807:TAY589808 SRC589807:SRC589808 SHG589807:SHG589808 RXK589807:RXK589808 RNO589807:RNO589808 RDS589807:RDS589808 QTW589807:QTW589808 QKA589807:QKA589808 QAE589807:QAE589808 PQI589807:PQI589808 PGM589807:PGM589808 OWQ589807:OWQ589808 OMU589807:OMU589808 OCY589807:OCY589808 NTC589807:NTC589808 NJG589807:NJG589808 MZK589807:MZK589808 MPO589807:MPO589808 MFS589807:MFS589808 LVW589807:LVW589808 LMA589807:LMA589808 LCE589807:LCE589808 KSI589807:KSI589808 KIM589807:KIM589808 JYQ589807:JYQ589808 JOU589807:JOU589808 JEY589807:JEY589808 IVC589807:IVC589808 ILG589807:ILG589808 IBK589807:IBK589808 HRO589807:HRO589808 HHS589807:HHS589808 GXW589807:GXW589808 GOA589807:GOA589808 GEE589807:GEE589808 FUI589807:FUI589808 FKM589807:FKM589808 FAQ589807:FAQ589808 EQU589807:EQU589808 EGY589807:EGY589808 DXC589807:DXC589808 DNG589807:DNG589808 DDK589807:DDK589808 CTO589807:CTO589808 CJS589807:CJS589808 BZW589807:BZW589808 BQA589807:BQA589808 BGE589807:BGE589808 AWI589807:AWI589808 AMM589807:AMM589808 ACQ589807:ACQ589808 SU589807:SU589808 IY589807:IY589808 B589807:B589808 WVK524271:WVK524272 WLO524271:WLO524272 WBS524271:WBS524272 VRW524271:VRW524272 VIA524271:VIA524272 UYE524271:UYE524272 UOI524271:UOI524272 UEM524271:UEM524272 TUQ524271:TUQ524272 TKU524271:TKU524272 TAY524271:TAY524272 SRC524271:SRC524272 SHG524271:SHG524272 RXK524271:RXK524272 RNO524271:RNO524272 RDS524271:RDS524272 QTW524271:QTW524272 QKA524271:QKA524272 QAE524271:QAE524272 PQI524271:PQI524272 PGM524271:PGM524272 OWQ524271:OWQ524272 OMU524271:OMU524272 OCY524271:OCY524272 NTC524271:NTC524272 NJG524271:NJG524272 MZK524271:MZK524272 MPO524271:MPO524272 MFS524271:MFS524272 LVW524271:LVW524272 LMA524271:LMA524272 LCE524271:LCE524272 KSI524271:KSI524272 KIM524271:KIM524272 JYQ524271:JYQ524272 JOU524271:JOU524272 JEY524271:JEY524272 IVC524271:IVC524272 ILG524271:ILG524272 IBK524271:IBK524272 HRO524271:HRO524272 HHS524271:HHS524272 GXW524271:GXW524272 GOA524271:GOA524272 GEE524271:GEE524272 FUI524271:FUI524272 FKM524271:FKM524272 FAQ524271:FAQ524272 EQU524271:EQU524272 EGY524271:EGY524272 DXC524271:DXC524272 DNG524271:DNG524272 DDK524271:DDK524272 CTO524271:CTO524272 CJS524271:CJS524272 BZW524271:BZW524272 BQA524271:BQA524272 BGE524271:BGE524272 AWI524271:AWI524272 AMM524271:AMM524272 ACQ524271:ACQ524272 SU524271:SU524272 IY524271:IY524272 B524271:B524272 WVK458735:WVK458736 WLO458735:WLO458736 WBS458735:WBS458736 VRW458735:VRW458736 VIA458735:VIA458736 UYE458735:UYE458736 UOI458735:UOI458736 UEM458735:UEM458736 TUQ458735:TUQ458736 TKU458735:TKU458736 TAY458735:TAY458736 SRC458735:SRC458736 SHG458735:SHG458736 RXK458735:RXK458736 RNO458735:RNO458736 RDS458735:RDS458736 QTW458735:QTW458736 QKA458735:QKA458736 QAE458735:QAE458736 PQI458735:PQI458736 PGM458735:PGM458736 OWQ458735:OWQ458736 OMU458735:OMU458736 OCY458735:OCY458736 NTC458735:NTC458736 NJG458735:NJG458736 MZK458735:MZK458736 MPO458735:MPO458736 MFS458735:MFS458736 LVW458735:LVW458736 LMA458735:LMA458736 LCE458735:LCE458736 KSI458735:KSI458736 KIM458735:KIM458736 JYQ458735:JYQ458736 JOU458735:JOU458736 JEY458735:JEY458736 IVC458735:IVC458736 ILG458735:ILG458736 IBK458735:IBK458736 HRO458735:HRO458736 HHS458735:HHS458736 GXW458735:GXW458736 GOA458735:GOA458736 GEE458735:GEE458736 FUI458735:FUI458736 FKM458735:FKM458736 FAQ458735:FAQ458736 EQU458735:EQU458736 EGY458735:EGY458736 DXC458735:DXC458736 DNG458735:DNG458736 DDK458735:DDK458736 CTO458735:CTO458736 CJS458735:CJS458736 BZW458735:BZW458736 BQA458735:BQA458736 BGE458735:BGE458736 AWI458735:AWI458736 AMM458735:AMM458736 ACQ458735:ACQ458736 SU458735:SU458736 IY458735:IY458736 B458735:B458736 WVK393199:WVK393200 WLO393199:WLO393200 WBS393199:WBS393200 VRW393199:VRW393200 VIA393199:VIA393200 UYE393199:UYE393200 UOI393199:UOI393200 UEM393199:UEM393200 TUQ393199:TUQ393200 TKU393199:TKU393200 TAY393199:TAY393200 SRC393199:SRC393200 SHG393199:SHG393200 RXK393199:RXK393200 RNO393199:RNO393200 RDS393199:RDS393200 QTW393199:QTW393200 QKA393199:QKA393200 QAE393199:QAE393200 PQI393199:PQI393200 PGM393199:PGM393200 OWQ393199:OWQ393200 OMU393199:OMU393200 OCY393199:OCY393200 NTC393199:NTC393200 NJG393199:NJG393200 MZK393199:MZK393200 MPO393199:MPO393200 MFS393199:MFS393200 LVW393199:LVW393200 LMA393199:LMA393200 LCE393199:LCE393200 KSI393199:KSI393200 KIM393199:KIM393200 JYQ393199:JYQ393200 JOU393199:JOU393200 JEY393199:JEY393200 IVC393199:IVC393200 ILG393199:ILG393200 IBK393199:IBK393200 HRO393199:HRO393200 HHS393199:HHS393200 GXW393199:GXW393200 GOA393199:GOA393200 GEE393199:GEE393200 FUI393199:FUI393200 FKM393199:FKM393200 FAQ393199:FAQ393200 EQU393199:EQU393200 EGY393199:EGY393200 DXC393199:DXC393200 DNG393199:DNG393200 DDK393199:DDK393200 CTO393199:CTO393200 CJS393199:CJS393200 BZW393199:BZW393200 BQA393199:BQA393200 BGE393199:BGE393200 AWI393199:AWI393200 AMM393199:AMM393200 ACQ393199:ACQ393200 SU393199:SU393200 IY393199:IY393200 B393199:B393200 WVK327663:WVK327664 WLO327663:WLO327664 WBS327663:WBS327664 VRW327663:VRW327664 VIA327663:VIA327664 UYE327663:UYE327664 UOI327663:UOI327664 UEM327663:UEM327664 TUQ327663:TUQ327664 TKU327663:TKU327664 TAY327663:TAY327664 SRC327663:SRC327664 SHG327663:SHG327664 RXK327663:RXK327664 RNO327663:RNO327664 RDS327663:RDS327664 QTW327663:QTW327664 QKA327663:QKA327664 QAE327663:QAE327664 PQI327663:PQI327664 PGM327663:PGM327664 OWQ327663:OWQ327664 OMU327663:OMU327664 OCY327663:OCY327664 NTC327663:NTC327664 NJG327663:NJG327664 MZK327663:MZK327664 MPO327663:MPO327664 MFS327663:MFS327664 LVW327663:LVW327664 LMA327663:LMA327664 LCE327663:LCE327664 KSI327663:KSI327664 KIM327663:KIM327664 JYQ327663:JYQ327664 JOU327663:JOU327664 JEY327663:JEY327664 IVC327663:IVC327664 ILG327663:ILG327664 IBK327663:IBK327664 HRO327663:HRO327664 HHS327663:HHS327664 GXW327663:GXW327664 GOA327663:GOA327664 GEE327663:GEE327664 FUI327663:FUI327664 FKM327663:FKM327664 FAQ327663:FAQ327664 EQU327663:EQU327664 EGY327663:EGY327664 DXC327663:DXC327664 DNG327663:DNG327664 DDK327663:DDK327664 CTO327663:CTO327664 CJS327663:CJS327664 BZW327663:BZW327664 BQA327663:BQA327664 BGE327663:BGE327664 AWI327663:AWI327664 AMM327663:AMM327664 ACQ327663:ACQ327664 SU327663:SU327664 IY327663:IY327664 B327663:B327664 WVK262127:WVK262128 WLO262127:WLO262128 WBS262127:WBS262128 VRW262127:VRW262128 VIA262127:VIA262128 UYE262127:UYE262128 UOI262127:UOI262128 UEM262127:UEM262128 TUQ262127:TUQ262128 TKU262127:TKU262128 TAY262127:TAY262128 SRC262127:SRC262128 SHG262127:SHG262128 RXK262127:RXK262128 RNO262127:RNO262128 RDS262127:RDS262128 QTW262127:QTW262128 QKA262127:QKA262128 QAE262127:QAE262128 PQI262127:PQI262128 PGM262127:PGM262128 OWQ262127:OWQ262128 OMU262127:OMU262128 OCY262127:OCY262128 NTC262127:NTC262128 NJG262127:NJG262128 MZK262127:MZK262128 MPO262127:MPO262128 MFS262127:MFS262128 LVW262127:LVW262128 LMA262127:LMA262128 LCE262127:LCE262128 KSI262127:KSI262128 KIM262127:KIM262128 JYQ262127:JYQ262128 JOU262127:JOU262128 JEY262127:JEY262128 IVC262127:IVC262128 ILG262127:ILG262128 IBK262127:IBK262128 HRO262127:HRO262128 HHS262127:HHS262128 GXW262127:GXW262128 GOA262127:GOA262128 GEE262127:GEE262128 FUI262127:FUI262128 FKM262127:FKM262128 FAQ262127:FAQ262128 EQU262127:EQU262128 EGY262127:EGY262128 DXC262127:DXC262128 DNG262127:DNG262128 DDK262127:DDK262128 CTO262127:CTO262128 CJS262127:CJS262128 BZW262127:BZW262128 BQA262127:BQA262128 BGE262127:BGE262128 AWI262127:AWI262128 AMM262127:AMM262128 ACQ262127:ACQ262128 SU262127:SU262128 IY262127:IY262128 B262127:B262128 WVK196591:WVK196592 WLO196591:WLO196592 WBS196591:WBS196592 VRW196591:VRW196592 VIA196591:VIA196592 UYE196591:UYE196592 UOI196591:UOI196592 UEM196591:UEM196592 TUQ196591:TUQ196592 TKU196591:TKU196592 TAY196591:TAY196592 SRC196591:SRC196592 SHG196591:SHG196592 RXK196591:RXK196592 RNO196591:RNO196592 RDS196591:RDS196592 QTW196591:QTW196592 QKA196591:QKA196592 QAE196591:QAE196592 PQI196591:PQI196592 PGM196591:PGM196592 OWQ196591:OWQ196592 OMU196591:OMU196592 OCY196591:OCY196592 NTC196591:NTC196592 NJG196591:NJG196592 MZK196591:MZK196592 MPO196591:MPO196592 MFS196591:MFS196592 LVW196591:LVW196592 LMA196591:LMA196592 LCE196591:LCE196592 KSI196591:KSI196592 KIM196591:KIM196592 JYQ196591:JYQ196592 JOU196591:JOU196592 JEY196591:JEY196592 IVC196591:IVC196592 ILG196591:ILG196592 IBK196591:IBK196592 HRO196591:HRO196592 HHS196591:HHS196592 GXW196591:GXW196592 GOA196591:GOA196592 GEE196591:GEE196592 FUI196591:FUI196592 FKM196591:FKM196592 FAQ196591:FAQ196592 EQU196591:EQU196592 EGY196591:EGY196592 DXC196591:DXC196592 DNG196591:DNG196592 DDK196591:DDK196592 CTO196591:CTO196592 CJS196591:CJS196592 BZW196591:BZW196592 BQA196591:BQA196592 BGE196591:BGE196592 AWI196591:AWI196592 AMM196591:AMM196592 ACQ196591:ACQ196592 SU196591:SU196592 IY196591:IY196592 B196591:B196592 WVK131055:WVK131056 WLO131055:WLO131056 WBS131055:WBS131056 VRW131055:VRW131056 VIA131055:VIA131056 UYE131055:UYE131056 UOI131055:UOI131056 UEM131055:UEM131056 TUQ131055:TUQ131056 TKU131055:TKU131056 TAY131055:TAY131056 SRC131055:SRC131056 SHG131055:SHG131056 RXK131055:RXK131056 RNO131055:RNO131056 RDS131055:RDS131056 QTW131055:QTW131056 QKA131055:QKA131056 QAE131055:QAE131056 PQI131055:PQI131056 PGM131055:PGM131056 OWQ131055:OWQ131056 OMU131055:OMU131056 OCY131055:OCY131056 NTC131055:NTC131056 NJG131055:NJG131056 MZK131055:MZK131056 MPO131055:MPO131056 MFS131055:MFS131056 LVW131055:LVW131056 LMA131055:LMA131056 LCE131055:LCE131056 KSI131055:KSI131056 KIM131055:KIM131056 JYQ131055:JYQ131056 JOU131055:JOU131056 JEY131055:JEY131056 IVC131055:IVC131056 ILG131055:ILG131056 IBK131055:IBK131056 HRO131055:HRO131056 HHS131055:HHS131056 GXW131055:GXW131056 GOA131055:GOA131056 GEE131055:GEE131056 FUI131055:FUI131056 FKM131055:FKM131056 FAQ131055:FAQ131056 EQU131055:EQU131056 EGY131055:EGY131056 DXC131055:DXC131056 DNG131055:DNG131056 DDK131055:DDK131056 CTO131055:CTO131056 CJS131055:CJS131056 BZW131055:BZW131056 BQA131055:BQA131056 BGE131055:BGE131056 AWI131055:AWI131056 AMM131055:AMM131056 ACQ131055:ACQ131056 SU131055:SU131056 IY131055:IY131056 B131055:B131056 WVK65519:WVK65520 WLO65519:WLO65520 WBS65519:WBS65520 VRW65519:VRW65520 VIA65519:VIA65520 UYE65519:UYE65520 UOI65519:UOI65520 UEM65519:UEM65520 TUQ65519:TUQ65520 TKU65519:TKU65520 TAY65519:TAY65520 SRC65519:SRC65520 SHG65519:SHG65520 RXK65519:RXK65520 RNO65519:RNO65520 RDS65519:RDS65520 QTW65519:QTW65520 QKA65519:QKA65520 QAE65519:QAE65520 PQI65519:PQI65520 PGM65519:PGM65520 OWQ65519:OWQ65520 OMU65519:OMU65520 OCY65519:OCY65520 NTC65519:NTC65520 NJG65519:NJG65520 MZK65519:MZK65520 MPO65519:MPO65520 MFS65519:MFS65520 LVW65519:LVW65520 LMA65519:LMA65520 LCE65519:LCE65520 KSI65519:KSI65520 KIM65519:KIM65520 JYQ65519:JYQ65520 JOU65519:JOU65520 JEY65519:JEY65520 IVC65519:IVC65520 ILG65519:ILG65520 IBK65519:IBK65520 HRO65519:HRO65520 HHS65519:HHS65520 GXW65519:GXW65520 GOA65519:GOA65520 GEE65519:GEE65520 FUI65519:FUI65520 FKM65519:FKM65520 FAQ65519:FAQ65520 EQU65519:EQU65520 EGY65519:EGY65520 DXC65519:DXC65520 DNG65519:DNG65520 DDK65519:DDK65520 CTO65519:CTO65520 CJS65519:CJS65520 BZW65519:BZW65520 BQA65519:BQA65520 BGE65519:BGE65520 AWI65519:AWI65520 AMM65519:AMM65520 ACQ65519:ACQ65520 SU65519:SU65520 B65519:B65520" xr:uid="{8DE9D8C8-AAAE-4FB6-80C7-CC82AFFCFA03}">
      <formula1>#REF!</formula1>
    </dataValidation>
    <dataValidation type="list" operator="greaterThanOrEqual" allowBlank="1" showInputMessage="1" showErrorMessage="1" sqref="WVO983041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xr:uid="{86DA5EE0-EDB6-4DCB-8803-C085A89F10B9}">
      <formula1>"0,1,2,3,4,5,6,7,8,9,10"</formula1>
    </dataValidation>
    <dataValidation type="decimal" allowBlank="1" showInputMessage="1" showErrorMessage="1" sqref="G39 JC39 SY39 ACU39 AMQ39 AWM39 BGI39 BQE39 CAA39 CJW39 CTS39 DDO39 DNK39 DXG39 EHC39 EQY39 FAU39 FKQ39 FUM39 GEI39 GOE39 GYA39 HHW39 HRS39 IBO39 ILK39 IVG39 JFC39 JOY39 JYU39 KIQ39 KSM39 LCI39 LME39 LWA39 MFW39 MPS39 MZO39 NJK39 NTG39 ODC39 OMY39 OWU39 PGQ39 PQM39 QAI39 QKE39 QUA39 RDW39 RNS39 RXO39 SHK39 SRG39 TBC39 TKY39 TUU39 UEQ39 UOM39 UYI39 VIE39 VSA39 WBW39 WLS39 WVO39 G65569 JC65569 SY65569 ACU65569 AMQ65569 AWM65569 BGI65569 BQE65569 CAA65569 CJW65569 CTS65569 DDO65569 DNK65569 DXG65569 EHC65569 EQY65569 FAU65569 FKQ65569 FUM65569 GEI65569 GOE65569 GYA65569 HHW65569 HRS65569 IBO65569 ILK65569 IVG65569 JFC65569 JOY65569 JYU65569 KIQ65569 KSM65569 LCI65569 LME65569 LWA65569 MFW65569 MPS65569 MZO65569 NJK65569 NTG65569 ODC65569 OMY65569 OWU65569 PGQ65569 PQM65569 QAI65569 QKE65569 QUA65569 RDW65569 RNS65569 RXO65569 SHK65569 SRG65569 TBC65569 TKY65569 TUU65569 UEQ65569 UOM65569 UYI65569 VIE65569 VSA65569 WBW65569 WLS65569 WVO65569 G131105 JC131105 SY131105 ACU131105 AMQ131105 AWM131105 BGI131105 BQE131105 CAA131105 CJW131105 CTS131105 DDO131105 DNK131105 DXG131105 EHC131105 EQY131105 FAU131105 FKQ131105 FUM131105 GEI131105 GOE131105 GYA131105 HHW131105 HRS131105 IBO131105 ILK131105 IVG131105 JFC131105 JOY131105 JYU131105 KIQ131105 KSM131105 LCI131105 LME131105 LWA131105 MFW131105 MPS131105 MZO131105 NJK131105 NTG131105 ODC131105 OMY131105 OWU131105 PGQ131105 PQM131105 QAI131105 QKE131105 QUA131105 RDW131105 RNS131105 RXO131105 SHK131105 SRG131105 TBC131105 TKY131105 TUU131105 UEQ131105 UOM131105 UYI131105 VIE131105 VSA131105 WBW131105 WLS131105 WVO131105 G196641 JC196641 SY196641 ACU196641 AMQ196641 AWM196641 BGI196641 BQE196641 CAA196641 CJW196641 CTS196641 DDO196641 DNK196641 DXG196641 EHC196641 EQY196641 FAU196641 FKQ196641 FUM196641 GEI196641 GOE196641 GYA196641 HHW196641 HRS196641 IBO196641 ILK196641 IVG196641 JFC196641 JOY196641 JYU196641 KIQ196641 KSM196641 LCI196641 LME196641 LWA196641 MFW196641 MPS196641 MZO196641 NJK196641 NTG196641 ODC196641 OMY196641 OWU196641 PGQ196641 PQM196641 QAI196641 QKE196641 QUA196641 RDW196641 RNS196641 RXO196641 SHK196641 SRG196641 TBC196641 TKY196641 TUU196641 UEQ196641 UOM196641 UYI196641 VIE196641 VSA196641 WBW196641 WLS196641 WVO196641 G262177 JC262177 SY262177 ACU262177 AMQ262177 AWM262177 BGI262177 BQE262177 CAA262177 CJW262177 CTS262177 DDO262177 DNK262177 DXG262177 EHC262177 EQY262177 FAU262177 FKQ262177 FUM262177 GEI262177 GOE262177 GYA262177 HHW262177 HRS262177 IBO262177 ILK262177 IVG262177 JFC262177 JOY262177 JYU262177 KIQ262177 KSM262177 LCI262177 LME262177 LWA262177 MFW262177 MPS262177 MZO262177 NJK262177 NTG262177 ODC262177 OMY262177 OWU262177 PGQ262177 PQM262177 QAI262177 QKE262177 QUA262177 RDW262177 RNS262177 RXO262177 SHK262177 SRG262177 TBC262177 TKY262177 TUU262177 UEQ262177 UOM262177 UYI262177 VIE262177 VSA262177 WBW262177 WLS262177 WVO262177 G327713 JC327713 SY327713 ACU327713 AMQ327713 AWM327713 BGI327713 BQE327713 CAA327713 CJW327713 CTS327713 DDO327713 DNK327713 DXG327713 EHC327713 EQY327713 FAU327713 FKQ327713 FUM327713 GEI327713 GOE327713 GYA327713 HHW327713 HRS327713 IBO327713 ILK327713 IVG327713 JFC327713 JOY327713 JYU327713 KIQ327713 KSM327713 LCI327713 LME327713 LWA327713 MFW327713 MPS327713 MZO327713 NJK327713 NTG327713 ODC327713 OMY327713 OWU327713 PGQ327713 PQM327713 QAI327713 QKE327713 QUA327713 RDW327713 RNS327713 RXO327713 SHK327713 SRG327713 TBC327713 TKY327713 TUU327713 UEQ327713 UOM327713 UYI327713 VIE327713 VSA327713 WBW327713 WLS327713 WVO327713 G393249 JC393249 SY393249 ACU393249 AMQ393249 AWM393249 BGI393249 BQE393249 CAA393249 CJW393249 CTS393249 DDO393249 DNK393249 DXG393249 EHC393249 EQY393249 FAU393249 FKQ393249 FUM393249 GEI393249 GOE393249 GYA393249 HHW393249 HRS393249 IBO393249 ILK393249 IVG393249 JFC393249 JOY393249 JYU393249 KIQ393249 KSM393249 LCI393249 LME393249 LWA393249 MFW393249 MPS393249 MZO393249 NJK393249 NTG393249 ODC393249 OMY393249 OWU393249 PGQ393249 PQM393249 QAI393249 QKE393249 QUA393249 RDW393249 RNS393249 RXO393249 SHK393249 SRG393249 TBC393249 TKY393249 TUU393249 UEQ393249 UOM393249 UYI393249 VIE393249 VSA393249 WBW393249 WLS393249 WVO393249 G458785 JC458785 SY458785 ACU458785 AMQ458785 AWM458785 BGI458785 BQE458785 CAA458785 CJW458785 CTS458785 DDO458785 DNK458785 DXG458785 EHC458785 EQY458785 FAU458785 FKQ458785 FUM458785 GEI458785 GOE458785 GYA458785 HHW458785 HRS458785 IBO458785 ILK458785 IVG458785 JFC458785 JOY458785 JYU458785 KIQ458785 KSM458785 LCI458785 LME458785 LWA458785 MFW458785 MPS458785 MZO458785 NJK458785 NTG458785 ODC458785 OMY458785 OWU458785 PGQ458785 PQM458785 QAI458785 QKE458785 QUA458785 RDW458785 RNS458785 RXO458785 SHK458785 SRG458785 TBC458785 TKY458785 TUU458785 UEQ458785 UOM458785 UYI458785 VIE458785 VSA458785 WBW458785 WLS458785 WVO458785 G524321 JC524321 SY524321 ACU524321 AMQ524321 AWM524321 BGI524321 BQE524321 CAA524321 CJW524321 CTS524321 DDO524321 DNK524321 DXG524321 EHC524321 EQY524321 FAU524321 FKQ524321 FUM524321 GEI524321 GOE524321 GYA524321 HHW524321 HRS524321 IBO524321 ILK524321 IVG524321 JFC524321 JOY524321 JYU524321 KIQ524321 KSM524321 LCI524321 LME524321 LWA524321 MFW524321 MPS524321 MZO524321 NJK524321 NTG524321 ODC524321 OMY524321 OWU524321 PGQ524321 PQM524321 QAI524321 QKE524321 QUA524321 RDW524321 RNS524321 RXO524321 SHK524321 SRG524321 TBC524321 TKY524321 TUU524321 UEQ524321 UOM524321 UYI524321 VIE524321 VSA524321 WBW524321 WLS524321 WVO524321 G589857 JC589857 SY589857 ACU589857 AMQ589857 AWM589857 BGI589857 BQE589857 CAA589857 CJW589857 CTS589857 DDO589857 DNK589857 DXG589857 EHC589857 EQY589857 FAU589857 FKQ589857 FUM589857 GEI589857 GOE589857 GYA589857 HHW589857 HRS589857 IBO589857 ILK589857 IVG589857 JFC589857 JOY589857 JYU589857 KIQ589857 KSM589857 LCI589857 LME589857 LWA589857 MFW589857 MPS589857 MZO589857 NJK589857 NTG589857 ODC589857 OMY589857 OWU589857 PGQ589857 PQM589857 QAI589857 QKE589857 QUA589857 RDW589857 RNS589857 RXO589857 SHK589857 SRG589857 TBC589857 TKY589857 TUU589857 UEQ589857 UOM589857 UYI589857 VIE589857 VSA589857 WBW589857 WLS589857 WVO589857 G655393 JC655393 SY655393 ACU655393 AMQ655393 AWM655393 BGI655393 BQE655393 CAA655393 CJW655393 CTS655393 DDO655393 DNK655393 DXG655393 EHC655393 EQY655393 FAU655393 FKQ655393 FUM655393 GEI655393 GOE655393 GYA655393 HHW655393 HRS655393 IBO655393 ILK655393 IVG655393 JFC655393 JOY655393 JYU655393 KIQ655393 KSM655393 LCI655393 LME655393 LWA655393 MFW655393 MPS655393 MZO655393 NJK655393 NTG655393 ODC655393 OMY655393 OWU655393 PGQ655393 PQM655393 QAI655393 QKE655393 QUA655393 RDW655393 RNS655393 RXO655393 SHK655393 SRG655393 TBC655393 TKY655393 TUU655393 UEQ655393 UOM655393 UYI655393 VIE655393 VSA655393 WBW655393 WLS655393 WVO655393 G720929 JC720929 SY720929 ACU720929 AMQ720929 AWM720929 BGI720929 BQE720929 CAA720929 CJW720929 CTS720929 DDO720929 DNK720929 DXG720929 EHC720929 EQY720929 FAU720929 FKQ720929 FUM720929 GEI720929 GOE720929 GYA720929 HHW720929 HRS720929 IBO720929 ILK720929 IVG720929 JFC720929 JOY720929 JYU720929 KIQ720929 KSM720929 LCI720929 LME720929 LWA720929 MFW720929 MPS720929 MZO720929 NJK720929 NTG720929 ODC720929 OMY720929 OWU720929 PGQ720929 PQM720929 QAI720929 QKE720929 QUA720929 RDW720929 RNS720929 RXO720929 SHK720929 SRG720929 TBC720929 TKY720929 TUU720929 UEQ720929 UOM720929 UYI720929 VIE720929 VSA720929 WBW720929 WLS720929 WVO720929 G786465 JC786465 SY786465 ACU786465 AMQ786465 AWM786465 BGI786465 BQE786465 CAA786465 CJW786465 CTS786465 DDO786465 DNK786465 DXG786465 EHC786465 EQY786465 FAU786465 FKQ786465 FUM786465 GEI786465 GOE786465 GYA786465 HHW786465 HRS786465 IBO786465 ILK786465 IVG786465 JFC786465 JOY786465 JYU786465 KIQ786465 KSM786465 LCI786465 LME786465 LWA786465 MFW786465 MPS786465 MZO786465 NJK786465 NTG786465 ODC786465 OMY786465 OWU786465 PGQ786465 PQM786465 QAI786465 QKE786465 QUA786465 RDW786465 RNS786465 RXO786465 SHK786465 SRG786465 TBC786465 TKY786465 TUU786465 UEQ786465 UOM786465 UYI786465 VIE786465 VSA786465 WBW786465 WLS786465 WVO786465 G852001 JC852001 SY852001 ACU852001 AMQ852001 AWM852001 BGI852001 BQE852001 CAA852001 CJW852001 CTS852001 DDO852001 DNK852001 DXG852001 EHC852001 EQY852001 FAU852001 FKQ852001 FUM852001 GEI852001 GOE852001 GYA852001 HHW852001 HRS852001 IBO852001 ILK852001 IVG852001 JFC852001 JOY852001 JYU852001 KIQ852001 KSM852001 LCI852001 LME852001 LWA852001 MFW852001 MPS852001 MZO852001 NJK852001 NTG852001 ODC852001 OMY852001 OWU852001 PGQ852001 PQM852001 QAI852001 QKE852001 QUA852001 RDW852001 RNS852001 RXO852001 SHK852001 SRG852001 TBC852001 TKY852001 TUU852001 UEQ852001 UOM852001 UYI852001 VIE852001 VSA852001 WBW852001 WLS852001 WVO852001 G917537 JC917537 SY917537 ACU917537 AMQ917537 AWM917537 BGI917537 BQE917537 CAA917537 CJW917537 CTS917537 DDO917537 DNK917537 DXG917537 EHC917537 EQY917537 FAU917537 FKQ917537 FUM917537 GEI917537 GOE917537 GYA917537 HHW917537 HRS917537 IBO917537 ILK917537 IVG917537 JFC917537 JOY917537 JYU917537 KIQ917537 KSM917537 LCI917537 LME917537 LWA917537 MFW917537 MPS917537 MZO917537 NJK917537 NTG917537 ODC917537 OMY917537 OWU917537 PGQ917537 PQM917537 QAI917537 QKE917537 QUA917537 RDW917537 RNS917537 RXO917537 SHK917537 SRG917537 TBC917537 TKY917537 TUU917537 UEQ917537 UOM917537 UYI917537 VIE917537 VSA917537 WBW917537 WLS917537 WVO917537 G983073 JC983073 SY983073 ACU983073 AMQ983073 AWM983073 BGI983073 BQE983073 CAA983073 CJW983073 CTS983073 DDO983073 DNK983073 DXG983073 EHC983073 EQY983073 FAU983073 FKQ983073 FUM983073 GEI983073 GOE983073 GYA983073 HHW983073 HRS983073 IBO983073 ILK983073 IVG983073 JFC983073 JOY983073 JYU983073 KIQ983073 KSM983073 LCI983073 LME983073 LWA983073 MFW983073 MPS983073 MZO983073 NJK983073 NTG983073 ODC983073 OMY983073 OWU983073 PGQ983073 PQM983073 QAI983073 QKE983073 QUA983073 RDW983073 RNS983073 RXO983073 SHK983073 SRG983073 TBC983073 TKY983073 TUU983073 UEQ983073 UOM983073 UYI983073 VIE983073 VSA983073 WBW983073 WLS983073 WVO983073 G9 JC9 SY9 ACU9 AMQ9 AWM9 BGI9 BQE9 CAA9 CJW9 CTS9 DDO9 DNK9 DXG9 EHC9 EQY9 FAU9 FKQ9 FUM9 GEI9 GOE9 GYA9 HHW9 HRS9 IBO9 ILK9 IVG9 JFC9 JOY9 JYU9 KIQ9 KSM9 LCI9 LME9 LWA9 MFW9 MPS9 MZO9 NJK9 NTG9 ODC9 OMY9 OWU9 PGQ9 PQM9 QAI9 QKE9 QUA9 RDW9 RNS9 RXO9 SHK9 SRG9 TBC9 TKY9 TUU9 UEQ9 UOM9 UYI9 VIE9 VSA9 WBW9 WLS9 WVO9 G65528 JC65528 SY65528 ACU65528 AMQ65528 AWM65528 BGI65528 BQE65528 CAA65528 CJW65528 CTS65528 DDO65528 DNK65528 DXG65528 EHC65528 EQY65528 FAU65528 FKQ65528 FUM65528 GEI65528 GOE65528 GYA65528 HHW65528 HRS65528 IBO65528 ILK65528 IVG65528 JFC65528 JOY65528 JYU65528 KIQ65528 KSM65528 LCI65528 LME65528 LWA65528 MFW65528 MPS65528 MZO65528 NJK65528 NTG65528 ODC65528 OMY65528 OWU65528 PGQ65528 PQM65528 QAI65528 QKE65528 QUA65528 RDW65528 RNS65528 RXO65528 SHK65528 SRG65528 TBC65528 TKY65528 TUU65528 UEQ65528 UOM65528 UYI65528 VIE65528 VSA65528 WBW65528 WLS65528 WVO65528 G131064 JC131064 SY131064 ACU131064 AMQ131064 AWM131064 BGI131064 BQE131064 CAA131064 CJW131064 CTS131064 DDO131064 DNK131064 DXG131064 EHC131064 EQY131064 FAU131064 FKQ131064 FUM131064 GEI131064 GOE131064 GYA131064 HHW131064 HRS131064 IBO131064 ILK131064 IVG131064 JFC131064 JOY131064 JYU131064 KIQ131064 KSM131064 LCI131064 LME131064 LWA131064 MFW131064 MPS131064 MZO131064 NJK131064 NTG131064 ODC131064 OMY131064 OWU131064 PGQ131064 PQM131064 QAI131064 QKE131064 QUA131064 RDW131064 RNS131064 RXO131064 SHK131064 SRG131064 TBC131064 TKY131064 TUU131064 UEQ131064 UOM131064 UYI131064 VIE131064 VSA131064 WBW131064 WLS131064 WVO131064 G196600 JC196600 SY196600 ACU196600 AMQ196600 AWM196600 BGI196600 BQE196600 CAA196600 CJW196600 CTS196600 DDO196600 DNK196600 DXG196600 EHC196600 EQY196600 FAU196600 FKQ196600 FUM196600 GEI196600 GOE196600 GYA196600 HHW196600 HRS196600 IBO196600 ILK196600 IVG196600 JFC196600 JOY196600 JYU196600 KIQ196600 KSM196600 LCI196600 LME196600 LWA196600 MFW196600 MPS196600 MZO196600 NJK196600 NTG196600 ODC196600 OMY196600 OWU196600 PGQ196600 PQM196600 QAI196600 QKE196600 QUA196600 RDW196600 RNS196600 RXO196600 SHK196600 SRG196600 TBC196600 TKY196600 TUU196600 UEQ196600 UOM196600 UYI196600 VIE196600 VSA196600 WBW196600 WLS196600 WVO196600 G262136 JC262136 SY262136 ACU262136 AMQ262136 AWM262136 BGI262136 BQE262136 CAA262136 CJW262136 CTS262136 DDO262136 DNK262136 DXG262136 EHC262136 EQY262136 FAU262136 FKQ262136 FUM262136 GEI262136 GOE262136 GYA262136 HHW262136 HRS262136 IBO262136 ILK262136 IVG262136 JFC262136 JOY262136 JYU262136 KIQ262136 KSM262136 LCI262136 LME262136 LWA262136 MFW262136 MPS262136 MZO262136 NJK262136 NTG262136 ODC262136 OMY262136 OWU262136 PGQ262136 PQM262136 QAI262136 QKE262136 QUA262136 RDW262136 RNS262136 RXO262136 SHK262136 SRG262136 TBC262136 TKY262136 TUU262136 UEQ262136 UOM262136 UYI262136 VIE262136 VSA262136 WBW262136 WLS262136 WVO262136 G327672 JC327672 SY327672 ACU327672 AMQ327672 AWM327672 BGI327672 BQE327672 CAA327672 CJW327672 CTS327672 DDO327672 DNK327672 DXG327672 EHC327672 EQY327672 FAU327672 FKQ327672 FUM327672 GEI327672 GOE327672 GYA327672 HHW327672 HRS327672 IBO327672 ILK327672 IVG327672 JFC327672 JOY327672 JYU327672 KIQ327672 KSM327672 LCI327672 LME327672 LWA327672 MFW327672 MPS327672 MZO327672 NJK327672 NTG327672 ODC327672 OMY327672 OWU327672 PGQ327672 PQM327672 QAI327672 QKE327672 QUA327672 RDW327672 RNS327672 RXO327672 SHK327672 SRG327672 TBC327672 TKY327672 TUU327672 UEQ327672 UOM327672 UYI327672 VIE327672 VSA327672 WBW327672 WLS327672 WVO327672 G393208 JC393208 SY393208 ACU393208 AMQ393208 AWM393208 BGI393208 BQE393208 CAA393208 CJW393208 CTS393208 DDO393208 DNK393208 DXG393208 EHC393208 EQY393208 FAU393208 FKQ393208 FUM393208 GEI393208 GOE393208 GYA393208 HHW393208 HRS393208 IBO393208 ILK393208 IVG393208 JFC393208 JOY393208 JYU393208 KIQ393208 KSM393208 LCI393208 LME393208 LWA393208 MFW393208 MPS393208 MZO393208 NJK393208 NTG393208 ODC393208 OMY393208 OWU393208 PGQ393208 PQM393208 QAI393208 QKE393208 QUA393208 RDW393208 RNS393208 RXO393208 SHK393208 SRG393208 TBC393208 TKY393208 TUU393208 UEQ393208 UOM393208 UYI393208 VIE393208 VSA393208 WBW393208 WLS393208 WVO393208 G458744 JC458744 SY458744 ACU458744 AMQ458744 AWM458744 BGI458744 BQE458744 CAA458744 CJW458744 CTS458744 DDO458744 DNK458744 DXG458744 EHC458744 EQY458744 FAU458744 FKQ458744 FUM458744 GEI458744 GOE458744 GYA458744 HHW458744 HRS458744 IBO458744 ILK458744 IVG458744 JFC458744 JOY458744 JYU458744 KIQ458744 KSM458744 LCI458744 LME458744 LWA458744 MFW458744 MPS458744 MZO458744 NJK458744 NTG458744 ODC458744 OMY458744 OWU458744 PGQ458744 PQM458744 QAI458744 QKE458744 QUA458744 RDW458744 RNS458744 RXO458744 SHK458744 SRG458744 TBC458744 TKY458744 TUU458744 UEQ458744 UOM458744 UYI458744 VIE458744 VSA458744 WBW458744 WLS458744 WVO458744 G524280 JC524280 SY524280 ACU524280 AMQ524280 AWM524280 BGI524280 BQE524280 CAA524280 CJW524280 CTS524280 DDO524280 DNK524280 DXG524280 EHC524280 EQY524280 FAU524280 FKQ524280 FUM524280 GEI524280 GOE524280 GYA524280 HHW524280 HRS524280 IBO524280 ILK524280 IVG524280 JFC524280 JOY524280 JYU524280 KIQ524280 KSM524280 LCI524280 LME524280 LWA524280 MFW524280 MPS524280 MZO524280 NJK524280 NTG524280 ODC524280 OMY524280 OWU524280 PGQ524280 PQM524280 QAI524280 QKE524280 QUA524280 RDW524280 RNS524280 RXO524280 SHK524280 SRG524280 TBC524280 TKY524280 TUU524280 UEQ524280 UOM524280 UYI524280 VIE524280 VSA524280 WBW524280 WLS524280 WVO524280 G589816 JC589816 SY589816 ACU589816 AMQ589816 AWM589816 BGI589816 BQE589816 CAA589816 CJW589816 CTS589816 DDO589816 DNK589816 DXG589816 EHC589816 EQY589816 FAU589816 FKQ589816 FUM589816 GEI589816 GOE589816 GYA589816 HHW589816 HRS589816 IBO589816 ILK589816 IVG589816 JFC589816 JOY589816 JYU589816 KIQ589816 KSM589816 LCI589816 LME589816 LWA589816 MFW589816 MPS589816 MZO589816 NJK589816 NTG589816 ODC589816 OMY589816 OWU589816 PGQ589816 PQM589816 QAI589816 QKE589816 QUA589816 RDW589816 RNS589816 RXO589816 SHK589816 SRG589816 TBC589816 TKY589816 TUU589816 UEQ589816 UOM589816 UYI589816 VIE589816 VSA589816 WBW589816 WLS589816 WVO589816 G655352 JC655352 SY655352 ACU655352 AMQ655352 AWM655352 BGI655352 BQE655352 CAA655352 CJW655352 CTS655352 DDO655352 DNK655352 DXG655352 EHC655352 EQY655352 FAU655352 FKQ655352 FUM655352 GEI655352 GOE655352 GYA655352 HHW655352 HRS655352 IBO655352 ILK655352 IVG655352 JFC655352 JOY655352 JYU655352 KIQ655352 KSM655352 LCI655352 LME655352 LWA655352 MFW655352 MPS655352 MZO655352 NJK655352 NTG655352 ODC655352 OMY655352 OWU655352 PGQ655352 PQM655352 QAI655352 QKE655352 QUA655352 RDW655352 RNS655352 RXO655352 SHK655352 SRG655352 TBC655352 TKY655352 TUU655352 UEQ655352 UOM655352 UYI655352 VIE655352 VSA655352 WBW655352 WLS655352 WVO655352 G720888 JC720888 SY720888 ACU720888 AMQ720888 AWM720888 BGI720888 BQE720888 CAA720888 CJW720888 CTS720888 DDO720888 DNK720888 DXG720888 EHC720888 EQY720888 FAU720888 FKQ720888 FUM720888 GEI720888 GOE720888 GYA720888 HHW720888 HRS720888 IBO720888 ILK720888 IVG720888 JFC720888 JOY720888 JYU720888 KIQ720888 KSM720888 LCI720888 LME720888 LWA720888 MFW720888 MPS720888 MZO720888 NJK720888 NTG720888 ODC720888 OMY720888 OWU720888 PGQ720888 PQM720888 QAI720888 QKE720888 QUA720888 RDW720888 RNS720888 RXO720888 SHK720888 SRG720888 TBC720888 TKY720888 TUU720888 UEQ720888 UOM720888 UYI720888 VIE720888 VSA720888 WBW720888 WLS720888 WVO720888 G786424 JC786424 SY786424 ACU786424 AMQ786424 AWM786424 BGI786424 BQE786424 CAA786424 CJW786424 CTS786424 DDO786424 DNK786424 DXG786424 EHC786424 EQY786424 FAU786424 FKQ786424 FUM786424 GEI786424 GOE786424 GYA786424 HHW786424 HRS786424 IBO786424 ILK786424 IVG786424 JFC786424 JOY786424 JYU786424 KIQ786424 KSM786424 LCI786424 LME786424 LWA786424 MFW786424 MPS786424 MZO786424 NJK786424 NTG786424 ODC786424 OMY786424 OWU786424 PGQ786424 PQM786424 QAI786424 QKE786424 QUA786424 RDW786424 RNS786424 RXO786424 SHK786424 SRG786424 TBC786424 TKY786424 TUU786424 UEQ786424 UOM786424 UYI786424 VIE786424 VSA786424 WBW786424 WLS786424 WVO786424 G851960 JC851960 SY851960 ACU851960 AMQ851960 AWM851960 BGI851960 BQE851960 CAA851960 CJW851960 CTS851960 DDO851960 DNK851960 DXG851960 EHC851960 EQY851960 FAU851960 FKQ851960 FUM851960 GEI851960 GOE851960 GYA851960 HHW851960 HRS851960 IBO851960 ILK851960 IVG851960 JFC851960 JOY851960 JYU851960 KIQ851960 KSM851960 LCI851960 LME851960 LWA851960 MFW851960 MPS851960 MZO851960 NJK851960 NTG851960 ODC851960 OMY851960 OWU851960 PGQ851960 PQM851960 QAI851960 QKE851960 QUA851960 RDW851960 RNS851960 RXO851960 SHK851960 SRG851960 TBC851960 TKY851960 TUU851960 UEQ851960 UOM851960 UYI851960 VIE851960 VSA851960 WBW851960 WLS851960 WVO851960 G917496 JC917496 SY917496 ACU917496 AMQ917496 AWM917496 BGI917496 BQE917496 CAA917496 CJW917496 CTS917496 DDO917496 DNK917496 DXG917496 EHC917496 EQY917496 FAU917496 FKQ917496 FUM917496 GEI917496 GOE917496 GYA917496 HHW917496 HRS917496 IBO917496 ILK917496 IVG917496 JFC917496 JOY917496 JYU917496 KIQ917496 KSM917496 LCI917496 LME917496 LWA917496 MFW917496 MPS917496 MZO917496 NJK917496 NTG917496 ODC917496 OMY917496 OWU917496 PGQ917496 PQM917496 QAI917496 QKE917496 QUA917496 RDW917496 RNS917496 RXO917496 SHK917496 SRG917496 TBC917496 TKY917496 TUU917496 UEQ917496 UOM917496 UYI917496 VIE917496 VSA917496 WBW917496 WLS917496 WVO917496 G983032 JC983032 SY983032 ACU983032 AMQ983032 AWM983032 BGI983032 BQE983032 CAA983032 CJW983032 CTS983032 DDO983032 DNK983032 DXG983032 EHC983032 EQY983032 FAU983032 FKQ983032 FUM983032 GEI983032 GOE983032 GYA983032 HHW983032 HRS983032 IBO983032 ILK983032 IVG983032 JFC983032 JOY983032 JYU983032 KIQ983032 KSM983032 LCI983032 LME983032 LWA983032 MFW983032 MPS983032 MZO983032 NJK983032 NTG983032 ODC983032 OMY983032 OWU983032 PGQ983032 PQM983032 QAI983032 QKE983032 QUA983032 RDW983032 RNS983032 RXO983032 SHK983032 SRG983032 TBC983032 TKY983032 TUU983032 UEQ983032 UOM983032 UYI983032 VIE983032 VSA983032 WBW983032 WLS983032 WVO983032 G11 JC11 SY11 ACU11 AMQ11 AWM11 BGI11 BQE11 CAA11 CJW11 CTS11 DDO11 DNK11 DXG11 EHC11 EQY11 FAU11 FKQ11 FUM11 GEI11 GOE11 GYA11 HHW11 HRS11 IBO11 ILK11 IVG11 JFC11 JOY11 JYU11 KIQ11 KSM11 LCI11 LME11 LWA11 MFW11 MPS11 MZO11 NJK11 NTG11 ODC11 OMY11 OWU11 PGQ11 PQM11 QAI11 QKE11 QUA11 RDW11 RNS11 RXO11 SHK11 SRG11 TBC11 TKY11 TUU11 UEQ11 UOM11 UYI11 VIE11 VSA11 WBW11 WLS11 WVO11 G65530 JC65530 SY65530 ACU65530 AMQ65530 AWM65530 BGI65530 BQE65530 CAA65530 CJW65530 CTS65530 DDO65530 DNK65530 DXG65530 EHC65530 EQY65530 FAU65530 FKQ65530 FUM65530 GEI65530 GOE65530 GYA65530 HHW65530 HRS65530 IBO65530 ILK65530 IVG65530 JFC65530 JOY65530 JYU65530 KIQ65530 KSM65530 LCI65530 LME65530 LWA65530 MFW65530 MPS65530 MZO65530 NJK65530 NTG65530 ODC65530 OMY65530 OWU65530 PGQ65530 PQM65530 QAI65530 QKE65530 QUA65530 RDW65530 RNS65530 RXO65530 SHK65530 SRG65530 TBC65530 TKY65530 TUU65530 UEQ65530 UOM65530 UYI65530 VIE65530 VSA65530 WBW65530 WLS65530 WVO65530 G131066 JC131066 SY131066 ACU131066 AMQ131066 AWM131066 BGI131066 BQE131066 CAA131066 CJW131066 CTS131066 DDO131066 DNK131066 DXG131066 EHC131066 EQY131066 FAU131066 FKQ131066 FUM131066 GEI131066 GOE131066 GYA131066 HHW131066 HRS131066 IBO131066 ILK131066 IVG131066 JFC131066 JOY131066 JYU131066 KIQ131066 KSM131066 LCI131066 LME131066 LWA131066 MFW131066 MPS131066 MZO131066 NJK131066 NTG131066 ODC131066 OMY131066 OWU131066 PGQ131066 PQM131066 QAI131066 QKE131066 QUA131066 RDW131066 RNS131066 RXO131066 SHK131066 SRG131066 TBC131066 TKY131066 TUU131066 UEQ131066 UOM131066 UYI131066 VIE131066 VSA131066 WBW131066 WLS131066 WVO131066 G196602 JC196602 SY196602 ACU196602 AMQ196602 AWM196602 BGI196602 BQE196602 CAA196602 CJW196602 CTS196602 DDO196602 DNK196602 DXG196602 EHC196602 EQY196602 FAU196602 FKQ196602 FUM196602 GEI196602 GOE196602 GYA196602 HHW196602 HRS196602 IBO196602 ILK196602 IVG196602 JFC196602 JOY196602 JYU196602 KIQ196602 KSM196602 LCI196602 LME196602 LWA196602 MFW196602 MPS196602 MZO196602 NJK196602 NTG196602 ODC196602 OMY196602 OWU196602 PGQ196602 PQM196602 QAI196602 QKE196602 QUA196602 RDW196602 RNS196602 RXO196602 SHK196602 SRG196602 TBC196602 TKY196602 TUU196602 UEQ196602 UOM196602 UYI196602 VIE196602 VSA196602 WBW196602 WLS196602 WVO196602 G262138 JC262138 SY262138 ACU262138 AMQ262138 AWM262138 BGI262138 BQE262138 CAA262138 CJW262138 CTS262138 DDO262138 DNK262138 DXG262138 EHC262138 EQY262138 FAU262138 FKQ262138 FUM262138 GEI262138 GOE262138 GYA262138 HHW262138 HRS262138 IBO262138 ILK262138 IVG262138 JFC262138 JOY262138 JYU262138 KIQ262138 KSM262138 LCI262138 LME262138 LWA262138 MFW262138 MPS262138 MZO262138 NJK262138 NTG262138 ODC262138 OMY262138 OWU262138 PGQ262138 PQM262138 QAI262138 QKE262138 QUA262138 RDW262138 RNS262138 RXO262138 SHK262138 SRG262138 TBC262138 TKY262138 TUU262138 UEQ262138 UOM262138 UYI262138 VIE262138 VSA262138 WBW262138 WLS262138 WVO262138 G327674 JC327674 SY327674 ACU327674 AMQ327674 AWM327674 BGI327674 BQE327674 CAA327674 CJW327674 CTS327674 DDO327674 DNK327674 DXG327674 EHC327674 EQY327674 FAU327674 FKQ327674 FUM327674 GEI327674 GOE327674 GYA327674 HHW327674 HRS327674 IBO327674 ILK327674 IVG327674 JFC327674 JOY327674 JYU327674 KIQ327674 KSM327674 LCI327674 LME327674 LWA327674 MFW327674 MPS327674 MZO327674 NJK327674 NTG327674 ODC327674 OMY327674 OWU327674 PGQ327674 PQM327674 QAI327674 QKE327674 QUA327674 RDW327674 RNS327674 RXO327674 SHK327674 SRG327674 TBC327674 TKY327674 TUU327674 UEQ327674 UOM327674 UYI327674 VIE327674 VSA327674 WBW327674 WLS327674 WVO327674 G393210 JC393210 SY393210 ACU393210 AMQ393210 AWM393210 BGI393210 BQE393210 CAA393210 CJW393210 CTS393210 DDO393210 DNK393210 DXG393210 EHC393210 EQY393210 FAU393210 FKQ393210 FUM393210 GEI393210 GOE393210 GYA393210 HHW393210 HRS393210 IBO393210 ILK393210 IVG393210 JFC393210 JOY393210 JYU393210 KIQ393210 KSM393210 LCI393210 LME393210 LWA393210 MFW393210 MPS393210 MZO393210 NJK393210 NTG393210 ODC393210 OMY393210 OWU393210 PGQ393210 PQM393210 QAI393210 QKE393210 QUA393210 RDW393210 RNS393210 RXO393210 SHK393210 SRG393210 TBC393210 TKY393210 TUU393210 UEQ393210 UOM393210 UYI393210 VIE393210 VSA393210 WBW393210 WLS393210 WVO393210 G458746 JC458746 SY458746 ACU458746 AMQ458746 AWM458746 BGI458746 BQE458746 CAA458746 CJW458746 CTS458746 DDO458746 DNK458746 DXG458746 EHC458746 EQY458746 FAU458746 FKQ458746 FUM458746 GEI458746 GOE458746 GYA458746 HHW458746 HRS458746 IBO458746 ILK458746 IVG458746 JFC458746 JOY458746 JYU458746 KIQ458746 KSM458746 LCI458746 LME458746 LWA458746 MFW458746 MPS458746 MZO458746 NJK458746 NTG458746 ODC458746 OMY458746 OWU458746 PGQ458746 PQM458746 QAI458746 QKE458746 QUA458746 RDW458746 RNS458746 RXO458746 SHK458746 SRG458746 TBC458746 TKY458746 TUU458746 UEQ458746 UOM458746 UYI458746 VIE458746 VSA458746 WBW458746 WLS458746 WVO458746 G524282 JC524282 SY524282 ACU524282 AMQ524282 AWM524282 BGI524282 BQE524282 CAA524282 CJW524282 CTS524282 DDO524282 DNK524282 DXG524282 EHC524282 EQY524282 FAU524282 FKQ524282 FUM524282 GEI524282 GOE524282 GYA524282 HHW524282 HRS524282 IBO524282 ILK524282 IVG524282 JFC524282 JOY524282 JYU524282 KIQ524282 KSM524282 LCI524282 LME524282 LWA524282 MFW524282 MPS524282 MZO524282 NJK524282 NTG524282 ODC524282 OMY524282 OWU524282 PGQ524282 PQM524282 QAI524282 QKE524282 QUA524282 RDW524282 RNS524282 RXO524282 SHK524282 SRG524282 TBC524282 TKY524282 TUU524282 UEQ524282 UOM524282 UYI524282 VIE524282 VSA524282 WBW524282 WLS524282 WVO524282 G589818 JC589818 SY589818 ACU589818 AMQ589818 AWM589818 BGI589818 BQE589818 CAA589818 CJW589818 CTS589818 DDO589818 DNK589818 DXG589818 EHC589818 EQY589818 FAU589818 FKQ589818 FUM589818 GEI589818 GOE589818 GYA589818 HHW589818 HRS589818 IBO589818 ILK589818 IVG589818 JFC589818 JOY589818 JYU589818 KIQ589818 KSM589818 LCI589818 LME589818 LWA589818 MFW589818 MPS589818 MZO589818 NJK589818 NTG589818 ODC589818 OMY589818 OWU589818 PGQ589818 PQM589818 QAI589818 QKE589818 QUA589818 RDW589818 RNS589818 RXO589818 SHK589818 SRG589818 TBC589818 TKY589818 TUU589818 UEQ589818 UOM589818 UYI589818 VIE589818 VSA589818 WBW589818 WLS589818 WVO589818 G655354 JC655354 SY655354 ACU655354 AMQ655354 AWM655354 BGI655354 BQE655354 CAA655354 CJW655354 CTS655354 DDO655354 DNK655354 DXG655354 EHC655354 EQY655354 FAU655354 FKQ655354 FUM655354 GEI655354 GOE655354 GYA655354 HHW655354 HRS655354 IBO655354 ILK655354 IVG655354 JFC655354 JOY655354 JYU655354 KIQ655354 KSM655354 LCI655354 LME655354 LWA655354 MFW655354 MPS655354 MZO655354 NJK655354 NTG655354 ODC655354 OMY655354 OWU655354 PGQ655354 PQM655354 QAI655354 QKE655354 QUA655354 RDW655354 RNS655354 RXO655354 SHK655354 SRG655354 TBC655354 TKY655354 TUU655354 UEQ655354 UOM655354 UYI655354 VIE655354 VSA655354 WBW655354 WLS655354 WVO655354 G720890 JC720890 SY720890 ACU720890 AMQ720890 AWM720890 BGI720890 BQE720890 CAA720890 CJW720890 CTS720890 DDO720890 DNK720890 DXG720890 EHC720890 EQY720890 FAU720890 FKQ720890 FUM720890 GEI720890 GOE720890 GYA720890 HHW720890 HRS720890 IBO720890 ILK720890 IVG720890 JFC720890 JOY720890 JYU720890 KIQ720890 KSM720890 LCI720890 LME720890 LWA720890 MFW720890 MPS720890 MZO720890 NJK720890 NTG720890 ODC720890 OMY720890 OWU720890 PGQ720890 PQM720890 QAI720890 QKE720890 QUA720890 RDW720890 RNS720890 RXO720890 SHK720890 SRG720890 TBC720890 TKY720890 TUU720890 UEQ720890 UOM720890 UYI720890 VIE720890 VSA720890 WBW720890 WLS720890 WVO720890 G786426 JC786426 SY786426 ACU786426 AMQ786426 AWM786426 BGI786426 BQE786426 CAA786426 CJW786426 CTS786426 DDO786426 DNK786426 DXG786426 EHC786426 EQY786426 FAU786426 FKQ786426 FUM786426 GEI786426 GOE786426 GYA786426 HHW786426 HRS786426 IBO786426 ILK786426 IVG786426 JFC786426 JOY786426 JYU786426 KIQ786426 KSM786426 LCI786426 LME786426 LWA786426 MFW786426 MPS786426 MZO786426 NJK786426 NTG786426 ODC786426 OMY786426 OWU786426 PGQ786426 PQM786426 QAI786426 QKE786426 QUA786426 RDW786426 RNS786426 RXO786426 SHK786426 SRG786426 TBC786426 TKY786426 TUU786426 UEQ786426 UOM786426 UYI786426 VIE786426 VSA786426 WBW786426 WLS786426 WVO786426 G851962 JC851962 SY851962 ACU851962 AMQ851962 AWM851962 BGI851962 BQE851962 CAA851962 CJW851962 CTS851962 DDO851962 DNK851962 DXG851962 EHC851962 EQY851962 FAU851962 FKQ851962 FUM851962 GEI851962 GOE851962 GYA851962 HHW851962 HRS851962 IBO851962 ILK851962 IVG851962 JFC851962 JOY851962 JYU851962 KIQ851962 KSM851962 LCI851962 LME851962 LWA851962 MFW851962 MPS851962 MZO851962 NJK851962 NTG851962 ODC851962 OMY851962 OWU851962 PGQ851962 PQM851962 QAI851962 QKE851962 QUA851962 RDW851962 RNS851962 RXO851962 SHK851962 SRG851962 TBC851962 TKY851962 TUU851962 UEQ851962 UOM851962 UYI851962 VIE851962 VSA851962 WBW851962 WLS851962 WVO851962 G917498 JC917498 SY917498 ACU917498 AMQ917498 AWM917498 BGI917498 BQE917498 CAA917498 CJW917498 CTS917498 DDO917498 DNK917498 DXG917498 EHC917498 EQY917498 FAU917498 FKQ917498 FUM917498 GEI917498 GOE917498 GYA917498 HHW917498 HRS917498 IBO917498 ILK917498 IVG917498 JFC917498 JOY917498 JYU917498 KIQ917498 KSM917498 LCI917498 LME917498 LWA917498 MFW917498 MPS917498 MZO917498 NJK917498 NTG917498 ODC917498 OMY917498 OWU917498 PGQ917498 PQM917498 QAI917498 QKE917498 QUA917498 RDW917498 RNS917498 RXO917498 SHK917498 SRG917498 TBC917498 TKY917498 TUU917498 UEQ917498 UOM917498 UYI917498 VIE917498 VSA917498 WBW917498 WLS917498 WVO917498 G983034 JC983034 SY983034 ACU983034 AMQ983034 AWM983034 BGI983034 BQE983034 CAA983034 CJW983034 CTS983034 DDO983034 DNK983034 DXG983034 EHC983034 EQY983034 FAU983034 FKQ983034 FUM983034 GEI983034 GOE983034 GYA983034 HHW983034 HRS983034 IBO983034 ILK983034 IVG983034 JFC983034 JOY983034 JYU983034 KIQ983034 KSM983034 LCI983034 LME983034 LWA983034 MFW983034 MPS983034 MZO983034 NJK983034 NTG983034 ODC983034 OMY983034 OWU983034 PGQ983034 PQM983034 QAI983034 QKE983034 QUA983034 RDW983034 RNS983034 RXO983034 SHK983034 SRG983034 TBC983034 TKY983034 TUU983034 UEQ983034 UOM983034 UYI983034 VIE983034 VSA983034 WBW983034 WLS983034 WVO983034" xr:uid="{82DDC466-37A9-491C-ACCF-8AED9C4E3B7A}">
      <formula1>0</formula1>
      <formula2>50</formula2>
    </dataValidation>
    <dataValidation type="whole" allowBlank="1" showInputMessage="1" showErrorMessage="1" sqref="G38 JC38 SY38 ACU38 AMQ38 AWM38 BGI38 BQE38 CAA38 CJW38 CTS38 DDO38 DNK38 DXG38 EHC38 EQY38 FAU38 FKQ38 FUM38 GEI38 GOE38 GYA38 HHW38 HRS38 IBO38 ILK38 IVG38 JFC38 JOY38 JYU38 KIQ38 KSM38 LCI38 LME38 LWA38 MFW38 MPS38 MZO38 NJK38 NTG38 ODC38 OMY38 OWU38 PGQ38 PQM38 QAI38 QKE38 QUA38 RDW38 RNS38 RXO38 SHK38 SRG38 TBC38 TKY38 TUU38 UEQ38 UOM38 UYI38 VIE38 VSA38 WBW38 WLS38 WVO38 G65568 JC65568 SY65568 ACU65568 AMQ65568 AWM65568 BGI65568 BQE65568 CAA65568 CJW65568 CTS65568 DDO65568 DNK65568 DXG65568 EHC65568 EQY65568 FAU65568 FKQ65568 FUM65568 GEI65568 GOE65568 GYA65568 HHW65568 HRS65568 IBO65568 ILK65568 IVG65568 JFC65568 JOY65568 JYU65568 KIQ65568 KSM65568 LCI65568 LME65568 LWA65568 MFW65568 MPS65568 MZO65568 NJK65568 NTG65568 ODC65568 OMY65568 OWU65568 PGQ65568 PQM65568 QAI65568 QKE65568 QUA65568 RDW65568 RNS65568 RXO65568 SHK65568 SRG65568 TBC65568 TKY65568 TUU65568 UEQ65568 UOM65568 UYI65568 VIE65568 VSA65568 WBW65568 WLS65568 WVO65568 G131104 JC131104 SY131104 ACU131104 AMQ131104 AWM131104 BGI131104 BQE131104 CAA131104 CJW131104 CTS131104 DDO131104 DNK131104 DXG131104 EHC131104 EQY131104 FAU131104 FKQ131104 FUM131104 GEI131104 GOE131104 GYA131104 HHW131104 HRS131104 IBO131104 ILK131104 IVG131104 JFC131104 JOY131104 JYU131104 KIQ131104 KSM131104 LCI131104 LME131104 LWA131104 MFW131104 MPS131104 MZO131104 NJK131104 NTG131104 ODC131104 OMY131104 OWU131104 PGQ131104 PQM131104 QAI131104 QKE131104 QUA131104 RDW131104 RNS131104 RXO131104 SHK131104 SRG131104 TBC131104 TKY131104 TUU131104 UEQ131104 UOM131104 UYI131104 VIE131104 VSA131104 WBW131104 WLS131104 WVO131104 G196640 JC196640 SY196640 ACU196640 AMQ196640 AWM196640 BGI196640 BQE196640 CAA196640 CJW196640 CTS196640 DDO196640 DNK196640 DXG196640 EHC196640 EQY196640 FAU196640 FKQ196640 FUM196640 GEI196640 GOE196640 GYA196640 HHW196640 HRS196640 IBO196640 ILK196640 IVG196640 JFC196640 JOY196640 JYU196640 KIQ196640 KSM196640 LCI196640 LME196640 LWA196640 MFW196640 MPS196640 MZO196640 NJK196640 NTG196640 ODC196640 OMY196640 OWU196640 PGQ196640 PQM196640 QAI196640 QKE196640 QUA196640 RDW196640 RNS196640 RXO196640 SHK196640 SRG196640 TBC196640 TKY196640 TUU196640 UEQ196640 UOM196640 UYI196640 VIE196640 VSA196640 WBW196640 WLS196640 WVO196640 G262176 JC262176 SY262176 ACU262176 AMQ262176 AWM262176 BGI262176 BQE262176 CAA262176 CJW262176 CTS262176 DDO262176 DNK262176 DXG262176 EHC262176 EQY262176 FAU262176 FKQ262176 FUM262176 GEI262176 GOE262176 GYA262176 HHW262176 HRS262176 IBO262176 ILK262176 IVG262176 JFC262176 JOY262176 JYU262176 KIQ262176 KSM262176 LCI262176 LME262176 LWA262176 MFW262176 MPS262176 MZO262176 NJK262176 NTG262176 ODC262176 OMY262176 OWU262176 PGQ262176 PQM262176 QAI262176 QKE262176 QUA262176 RDW262176 RNS262176 RXO262176 SHK262176 SRG262176 TBC262176 TKY262176 TUU262176 UEQ262176 UOM262176 UYI262176 VIE262176 VSA262176 WBW262176 WLS262176 WVO262176 G327712 JC327712 SY327712 ACU327712 AMQ327712 AWM327712 BGI327712 BQE327712 CAA327712 CJW327712 CTS327712 DDO327712 DNK327712 DXG327712 EHC327712 EQY327712 FAU327712 FKQ327712 FUM327712 GEI327712 GOE327712 GYA327712 HHW327712 HRS327712 IBO327712 ILK327712 IVG327712 JFC327712 JOY327712 JYU327712 KIQ327712 KSM327712 LCI327712 LME327712 LWA327712 MFW327712 MPS327712 MZO327712 NJK327712 NTG327712 ODC327712 OMY327712 OWU327712 PGQ327712 PQM327712 QAI327712 QKE327712 QUA327712 RDW327712 RNS327712 RXO327712 SHK327712 SRG327712 TBC327712 TKY327712 TUU327712 UEQ327712 UOM327712 UYI327712 VIE327712 VSA327712 WBW327712 WLS327712 WVO327712 G393248 JC393248 SY393248 ACU393248 AMQ393248 AWM393248 BGI393248 BQE393248 CAA393248 CJW393248 CTS393248 DDO393248 DNK393248 DXG393248 EHC393248 EQY393248 FAU393248 FKQ393248 FUM393248 GEI393248 GOE393248 GYA393248 HHW393248 HRS393248 IBO393248 ILK393248 IVG393248 JFC393248 JOY393248 JYU393248 KIQ393248 KSM393248 LCI393248 LME393248 LWA393248 MFW393248 MPS393248 MZO393248 NJK393248 NTG393248 ODC393248 OMY393248 OWU393248 PGQ393248 PQM393248 QAI393248 QKE393248 QUA393248 RDW393248 RNS393248 RXO393248 SHK393248 SRG393248 TBC393248 TKY393248 TUU393248 UEQ393248 UOM393248 UYI393248 VIE393248 VSA393248 WBW393248 WLS393248 WVO393248 G458784 JC458784 SY458784 ACU458784 AMQ458784 AWM458784 BGI458784 BQE458784 CAA458784 CJW458784 CTS458784 DDO458784 DNK458784 DXG458784 EHC458784 EQY458784 FAU458784 FKQ458784 FUM458784 GEI458784 GOE458784 GYA458784 HHW458784 HRS458784 IBO458784 ILK458784 IVG458784 JFC458784 JOY458784 JYU458784 KIQ458784 KSM458784 LCI458784 LME458784 LWA458784 MFW458784 MPS458784 MZO458784 NJK458784 NTG458784 ODC458784 OMY458784 OWU458784 PGQ458784 PQM458784 QAI458784 QKE458784 QUA458784 RDW458784 RNS458784 RXO458784 SHK458784 SRG458784 TBC458784 TKY458784 TUU458784 UEQ458784 UOM458784 UYI458784 VIE458784 VSA458784 WBW458784 WLS458784 WVO458784 G524320 JC524320 SY524320 ACU524320 AMQ524320 AWM524320 BGI524320 BQE524320 CAA524320 CJW524320 CTS524320 DDO524320 DNK524320 DXG524320 EHC524320 EQY524320 FAU524320 FKQ524320 FUM524320 GEI524320 GOE524320 GYA524320 HHW524320 HRS524320 IBO524320 ILK524320 IVG524320 JFC524320 JOY524320 JYU524320 KIQ524320 KSM524320 LCI524320 LME524320 LWA524320 MFW524320 MPS524320 MZO524320 NJK524320 NTG524320 ODC524320 OMY524320 OWU524320 PGQ524320 PQM524320 QAI524320 QKE524320 QUA524320 RDW524320 RNS524320 RXO524320 SHK524320 SRG524320 TBC524320 TKY524320 TUU524320 UEQ524320 UOM524320 UYI524320 VIE524320 VSA524320 WBW524320 WLS524320 WVO524320 G589856 JC589856 SY589856 ACU589856 AMQ589856 AWM589856 BGI589856 BQE589856 CAA589856 CJW589856 CTS589856 DDO589856 DNK589856 DXG589856 EHC589856 EQY589856 FAU589856 FKQ589856 FUM589856 GEI589856 GOE589856 GYA589856 HHW589856 HRS589856 IBO589856 ILK589856 IVG589856 JFC589856 JOY589856 JYU589856 KIQ589856 KSM589856 LCI589856 LME589856 LWA589856 MFW589856 MPS589856 MZO589856 NJK589856 NTG589856 ODC589856 OMY589856 OWU589856 PGQ589856 PQM589856 QAI589856 QKE589856 QUA589856 RDW589856 RNS589856 RXO589856 SHK589856 SRG589856 TBC589856 TKY589856 TUU589856 UEQ589856 UOM589856 UYI589856 VIE589856 VSA589856 WBW589856 WLS589856 WVO589856 G655392 JC655392 SY655392 ACU655392 AMQ655392 AWM655392 BGI655392 BQE655392 CAA655392 CJW655392 CTS655392 DDO655392 DNK655392 DXG655392 EHC655392 EQY655392 FAU655392 FKQ655392 FUM655392 GEI655392 GOE655392 GYA655392 HHW655392 HRS655392 IBO655392 ILK655392 IVG655392 JFC655392 JOY655392 JYU655392 KIQ655392 KSM655392 LCI655392 LME655392 LWA655392 MFW655392 MPS655392 MZO655392 NJK655392 NTG655392 ODC655392 OMY655392 OWU655392 PGQ655392 PQM655392 QAI655392 QKE655392 QUA655392 RDW655392 RNS655392 RXO655392 SHK655392 SRG655392 TBC655392 TKY655392 TUU655392 UEQ655392 UOM655392 UYI655392 VIE655392 VSA655392 WBW655392 WLS655392 WVO655392 G720928 JC720928 SY720928 ACU720928 AMQ720928 AWM720928 BGI720928 BQE720928 CAA720928 CJW720928 CTS720928 DDO720928 DNK720928 DXG720928 EHC720928 EQY720928 FAU720928 FKQ720928 FUM720928 GEI720928 GOE720928 GYA720928 HHW720928 HRS720928 IBO720928 ILK720928 IVG720928 JFC720928 JOY720928 JYU720928 KIQ720928 KSM720928 LCI720928 LME720928 LWA720928 MFW720928 MPS720928 MZO720928 NJK720928 NTG720928 ODC720928 OMY720928 OWU720928 PGQ720928 PQM720928 QAI720928 QKE720928 QUA720928 RDW720928 RNS720928 RXO720928 SHK720928 SRG720928 TBC720928 TKY720928 TUU720928 UEQ720928 UOM720928 UYI720928 VIE720928 VSA720928 WBW720928 WLS720928 WVO720928 G786464 JC786464 SY786464 ACU786464 AMQ786464 AWM786464 BGI786464 BQE786464 CAA786464 CJW786464 CTS786464 DDO786464 DNK786464 DXG786464 EHC786464 EQY786464 FAU786464 FKQ786464 FUM786464 GEI786464 GOE786464 GYA786464 HHW786464 HRS786464 IBO786464 ILK786464 IVG786464 JFC786464 JOY786464 JYU786464 KIQ786464 KSM786464 LCI786464 LME786464 LWA786464 MFW786464 MPS786464 MZO786464 NJK786464 NTG786464 ODC786464 OMY786464 OWU786464 PGQ786464 PQM786464 QAI786464 QKE786464 QUA786464 RDW786464 RNS786464 RXO786464 SHK786464 SRG786464 TBC786464 TKY786464 TUU786464 UEQ786464 UOM786464 UYI786464 VIE786464 VSA786464 WBW786464 WLS786464 WVO786464 G852000 JC852000 SY852000 ACU852000 AMQ852000 AWM852000 BGI852000 BQE852000 CAA852000 CJW852000 CTS852000 DDO852000 DNK852000 DXG852000 EHC852000 EQY852000 FAU852000 FKQ852000 FUM852000 GEI852000 GOE852000 GYA852000 HHW852000 HRS852000 IBO852000 ILK852000 IVG852000 JFC852000 JOY852000 JYU852000 KIQ852000 KSM852000 LCI852000 LME852000 LWA852000 MFW852000 MPS852000 MZO852000 NJK852000 NTG852000 ODC852000 OMY852000 OWU852000 PGQ852000 PQM852000 QAI852000 QKE852000 QUA852000 RDW852000 RNS852000 RXO852000 SHK852000 SRG852000 TBC852000 TKY852000 TUU852000 UEQ852000 UOM852000 UYI852000 VIE852000 VSA852000 WBW852000 WLS852000 WVO852000 G917536 JC917536 SY917536 ACU917536 AMQ917536 AWM917536 BGI917536 BQE917536 CAA917536 CJW917536 CTS917536 DDO917536 DNK917536 DXG917536 EHC917536 EQY917536 FAU917536 FKQ917536 FUM917536 GEI917536 GOE917536 GYA917536 HHW917536 HRS917536 IBO917536 ILK917536 IVG917536 JFC917536 JOY917536 JYU917536 KIQ917536 KSM917536 LCI917536 LME917536 LWA917536 MFW917536 MPS917536 MZO917536 NJK917536 NTG917536 ODC917536 OMY917536 OWU917536 PGQ917536 PQM917536 QAI917536 QKE917536 QUA917536 RDW917536 RNS917536 RXO917536 SHK917536 SRG917536 TBC917536 TKY917536 TUU917536 UEQ917536 UOM917536 UYI917536 VIE917536 VSA917536 WBW917536 WLS917536 WVO917536 G983072 JC983072 SY983072 ACU983072 AMQ983072 AWM983072 BGI983072 BQE983072 CAA983072 CJW983072 CTS983072 DDO983072 DNK983072 DXG983072 EHC983072 EQY983072 FAU983072 FKQ983072 FUM983072 GEI983072 GOE983072 GYA983072 HHW983072 HRS983072 IBO983072 ILK983072 IVG983072 JFC983072 JOY983072 JYU983072 KIQ983072 KSM983072 LCI983072 LME983072 LWA983072 MFW983072 MPS983072 MZO983072 NJK983072 NTG983072 ODC983072 OMY983072 OWU983072 PGQ983072 PQM983072 QAI983072 QKE983072 QUA983072 RDW983072 RNS983072 RXO983072 SHK983072 SRG983072 TBC983072 TKY983072 TUU983072 UEQ983072 UOM983072 UYI983072 VIE983072 VSA983072 WBW983072 WLS983072 WVO983072 G12:G15 JC12:JC15 SY12:SY15 ACU12:ACU15 AMQ12:AMQ15 AWM12:AWM15 BGI12:BGI15 BQE12:BQE15 CAA12:CAA15 CJW12:CJW15 CTS12:CTS15 DDO12:DDO15 DNK12:DNK15 DXG12:DXG15 EHC12:EHC15 EQY12:EQY15 FAU12:FAU15 FKQ12:FKQ15 FUM12:FUM15 GEI12:GEI15 GOE12:GOE15 GYA12:GYA15 HHW12:HHW15 HRS12:HRS15 IBO12:IBO15 ILK12:ILK15 IVG12:IVG15 JFC12:JFC15 JOY12:JOY15 JYU12:JYU15 KIQ12:KIQ15 KSM12:KSM15 LCI12:LCI15 LME12:LME15 LWA12:LWA15 MFW12:MFW15 MPS12:MPS15 MZO12:MZO15 NJK12:NJK15 NTG12:NTG15 ODC12:ODC15 OMY12:OMY15 OWU12:OWU15 PGQ12:PGQ15 PQM12:PQM15 QAI12:QAI15 QKE12:QKE15 QUA12:QUA15 RDW12:RDW15 RNS12:RNS15 RXO12:RXO15 SHK12:SHK15 SRG12:SRG15 TBC12:TBC15 TKY12:TKY15 TUU12:TUU15 UEQ12:UEQ15 UOM12:UOM15 UYI12:UYI15 VIE12:VIE15 VSA12:VSA15 WBW12:WBW15 WLS12:WLS15 WVO12:WVO15 G65531:G65534 JC65531:JC65534 SY65531:SY65534 ACU65531:ACU65534 AMQ65531:AMQ65534 AWM65531:AWM65534 BGI65531:BGI65534 BQE65531:BQE65534 CAA65531:CAA65534 CJW65531:CJW65534 CTS65531:CTS65534 DDO65531:DDO65534 DNK65531:DNK65534 DXG65531:DXG65534 EHC65531:EHC65534 EQY65531:EQY65534 FAU65531:FAU65534 FKQ65531:FKQ65534 FUM65531:FUM65534 GEI65531:GEI65534 GOE65531:GOE65534 GYA65531:GYA65534 HHW65531:HHW65534 HRS65531:HRS65534 IBO65531:IBO65534 ILK65531:ILK65534 IVG65531:IVG65534 JFC65531:JFC65534 JOY65531:JOY65534 JYU65531:JYU65534 KIQ65531:KIQ65534 KSM65531:KSM65534 LCI65531:LCI65534 LME65531:LME65534 LWA65531:LWA65534 MFW65531:MFW65534 MPS65531:MPS65534 MZO65531:MZO65534 NJK65531:NJK65534 NTG65531:NTG65534 ODC65531:ODC65534 OMY65531:OMY65534 OWU65531:OWU65534 PGQ65531:PGQ65534 PQM65531:PQM65534 QAI65531:QAI65534 QKE65531:QKE65534 QUA65531:QUA65534 RDW65531:RDW65534 RNS65531:RNS65534 RXO65531:RXO65534 SHK65531:SHK65534 SRG65531:SRG65534 TBC65531:TBC65534 TKY65531:TKY65534 TUU65531:TUU65534 UEQ65531:UEQ65534 UOM65531:UOM65534 UYI65531:UYI65534 VIE65531:VIE65534 VSA65531:VSA65534 WBW65531:WBW65534 WLS65531:WLS65534 WVO65531:WVO65534 G131067:G131070 JC131067:JC131070 SY131067:SY131070 ACU131067:ACU131070 AMQ131067:AMQ131070 AWM131067:AWM131070 BGI131067:BGI131070 BQE131067:BQE131070 CAA131067:CAA131070 CJW131067:CJW131070 CTS131067:CTS131070 DDO131067:DDO131070 DNK131067:DNK131070 DXG131067:DXG131070 EHC131067:EHC131070 EQY131067:EQY131070 FAU131067:FAU131070 FKQ131067:FKQ131070 FUM131067:FUM131070 GEI131067:GEI131070 GOE131067:GOE131070 GYA131067:GYA131070 HHW131067:HHW131070 HRS131067:HRS131070 IBO131067:IBO131070 ILK131067:ILK131070 IVG131067:IVG131070 JFC131067:JFC131070 JOY131067:JOY131070 JYU131067:JYU131070 KIQ131067:KIQ131070 KSM131067:KSM131070 LCI131067:LCI131070 LME131067:LME131070 LWA131067:LWA131070 MFW131067:MFW131070 MPS131067:MPS131070 MZO131067:MZO131070 NJK131067:NJK131070 NTG131067:NTG131070 ODC131067:ODC131070 OMY131067:OMY131070 OWU131067:OWU131070 PGQ131067:PGQ131070 PQM131067:PQM131070 QAI131067:QAI131070 QKE131067:QKE131070 QUA131067:QUA131070 RDW131067:RDW131070 RNS131067:RNS131070 RXO131067:RXO131070 SHK131067:SHK131070 SRG131067:SRG131070 TBC131067:TBC131070 TKY131067:TKY131070 TUU131067:TUU131070 UEQ131067:UEQ131070 UOM131067:UOM131070 UYI131067:UYI131070 VIE131067:VIE131070 VSA131067:VSA131070 WBW131067:WBW131070 WLS131067:WLS131070 WVO131067:WVO131070 G196603:G196606 JC196603:JC196606 SY196603:SY196606 ACU196603:ACU196606 AMQ196603:AMQ196606 AWM196603:AWM196606 BGI196603:BGI196606 BQE196603:BQE196606 CAA196603:CAA196606 CJW196603:CJW196606 CTS196603:CTS196606 DDO196603:DDO196606 DNK196603:DNK196606 DXG196603:DXG196606 EHC196603:EHC196606 EQY196603:EQY196606 FAU196603:FAU196606 FKQ196603:FKQ196606 FUM196603:FUM196606 GEI196603:GEI196606 GOE196603:GOE196606 GYA196603:GYA196606 HHW196603:HHW196606 HRS196603:HRS196606 IBO196603:IBO196606 ILK196603:ILK196606 IVG196603:IVG196606 JFC196603:JFC196606 JOY196603:JOY196606 JYU196603:JYU196606 KIQ196603:KIQ196606 KSM196603:KSM196606 LCI196603:LCI196606 LME196603:LME196606 LWA196603:LWA196606 MFW196603:MFW196606 MPS196603:MPS196606 MZO196603:MZO196606 NJK196603:NJK196606 NTG196603:NTG196606 ODC196603:ODC196606 OMY196603:OMY196606 OWU196603:OWU196606 PGQ196603:PGQ196606 PQM196603:PQM196606 QAI196603:QAI196606 QKE196603:QKE196606 QUA196603:QUA196606 RDW196603:RDW196606 RNS196603:RNS196606 RXO196603:RXO196606 SHK196603:SHK196606 SRG196603:SRG196606 TBC196603:TBC196606 TKY196603:TKY196606 TUU196603:TUU196606 UEQ196603:UEQ196606 UOM196603:UOM196606 UYI196603:UYI196606 VIE196603:VIE196606 VSA196603:VSA196606 WBW196603:WBW196606 WLS196603:WLS196606 WVO196603:WVO196606 G262139:G262142 JC262139:JC262142 SY262139:SY262142 ACU262139:ACU262142 AMQ262139:AMQ262142 AWM262139:AWM262142 BGI262139:BGI262142 BQE262139:BQE262142 CAA262139:CAA262142 CJW262139:CJW262142 CTS262139:CTS262142 DDO262139:DDO262142 DNK262139:DNK262142 DXG262139:DXG262142 EHC262139:EHC262142 EQY262139:EQY262142 FAU262139:FAU262142 FKQ262139:FKQ262142 FUM262139:FUM262142 GEI262139:GEI262142 GOE262139:GOE262142 GYA262139:GYA262142 HHW262139:HHW262142 HRS262139:HRS262142 IBO262139:IBO262142 ILK262139:ILK262142 IVG262139:IVG262142 JFC262139:JFC262142 JOY262139:JOY262142 JYU262139:JYU262142 KIQ262139:KIQ262142 KSM262139:KSM262142 LCI262139:LCI262142 LME262139:LME262142 LWA262139:LWA262142 MFW262139:MFW262142 MPS262139:MPS262142 MZO262139:MZO262142 NJK262139:NJK262142 NTG262139:NTG262142 ODC262139:ODC262142 OMY262139:OMY262142 OWU262139:OWU262142 PGQ262139:PGQ262142 PQM262139:PQM262142 QAI262139:QAI262142 QKE262139:QKE262142 QUA262139:QUA262142 RDW262139:RDW262142 RNS262139:RNS262142 RXO262139:RXO262142 SHK262139:SHK262142 SRG262139:SRG262142 TBC262139:TBC262142 TKY262139:TKY262142 TUU262139:TUU262142 UEQ262139:UEQ262142 UOM262139:UOM262142 UYI262139:UYI262142 VIE262139:VIE262142 VSA262139:VSA262142 WBW262139:WBW262142 WLS262139:WLS262142 WVO262139:WVO262142 G327675:G327678 JC327675:JC327678 SY327675:SY327678 ACU327675:ACU327678 AMQ327675:AMQ327678 AWM327675:AWM327678 BGI327675:BGI327678 BQE327675:BQE327678 CAA327675:CAA327678 CJW327675:CJW327678 CTS327675:CTS327678 DDO327675:DDO327678 DNK327675:DNK327678 DXG327675:DXG327678 EHC327675:EHC327678 EQY327675:EQY327678 FAU327675:FAU327678 FKQ327675:FKQ327678 FUM327675:FUM327678 GEI327675:GEI327678 GOE327675:GOE327678 GYA327675:GYA327678 HHW327675:HHW327678 HRS327675:HRS327678 IBO327675:IBO327678 ILK327675:ILK327678 IVG327675:IVG327678 JFC327675:JFC327678 JOY327675:JOY327678 JYU327675:JYU327678 KIQ327675:KIQ327678 KSM327675:KSM327678 LCI327675:LCI327678 LME327675:LME327678 LWA327675:LWA327678 MFW327675:MFW327678 MPS327675:MPS327678 MZO327675:MZO327678 NJK327675:NJK327678 NTG327675:NTG327678 ODC327675:ODC327678 OMY327675:OMY327678 OWU327675:OWU327678 PGQ327675:PGQ327678 PQM327675:PQM327678 QAI327675:QAI327678 QKE327675:QKE327678 QUA327675:QUA327678 RDW327675:RDW327678 RNS327675:RNS327678 RXO327675:RXO327678 SHK327675:SHK327678 SRG327675:SRG327678 TBC327675:TBC327678 TKY327675:TKY327678 TUU327675:TUU327678 UEQ327675:UEQ327678 UOM327675:UOM327678 UYI327675:UYI327678 VIE327675:VIE327678 VSA327675:VSA327678 WBW327675:WBW327678 WLS327675:WLS327678 WVO327675:WVO327678 G393211:G393214 JC393211:JC393214 SY393211:SY393214 ACU393211:ACU393214 AMQ393211:AMQ393214 AWM393211:AWM393214 BGI393211:BGI393214 BQE393211:BQE393214 CAA393211:CAA393214 CJW393211:CJW393214 CTS393211:CTS393214 DDO393211:DDO393214 DNK393211:DNK393214 DXG393211:DXG393214 EHC393211:EHC393214 EQY393211:EQY393214 FAU393211:FAU393214 FKQ393211:FKQ393214 FUM393211:FUM393214 GEI393211:GEI393214 GOE393211:GOE393214 GYA393211:GYA393214 HHW393211:HHW393214 HRS393211:HRS393214 IBO393211:IBO393214 ILK393211:ILK393214 IVG393211:IVG393214 JFC393211:JFC393214 JOY393211:JOY393214 JYU393211:JYU393214 KIQ393211:KIQ393214 KSM393211:KSM393214 LCI393211:LCI393214 LME393211:LME393214 LWA393211:LWA393214 MFW393211:MFW393214 MPS393211:MPS393214 MZO393211:MZO393214 NJK393211:NJK393214 NTG393211:NTG393214 ODC393211:ODC393214 OMY393211:OMY393214 OWU393211:OWU393214 PGQ393211:PGQ393214 PQM393211:PQM393214 QAI393211:QAI393214 QKE393211:QKE393214 QUA393211:QUA393214 RDW393211:RDW393214 RNS393211:RNS393214 RXO393211:RXO393214 SHK393211:SHK393214 SRG393211:SRG393214 TBC393211:TBC393214 TKY393211:TKY393214 TUU393211:TUU393214 UEQ393211:UEQ393214 UOM393211:UOM393214 UYI393211:UYI393214 VIE393211:VIE393214 VSA393211:VSA393214 WBW393211:WBW393214 WLS393211:WLS393214 WVO393211:WVO393214 G458747:G458750 JC458747:JC458750 SY458747:SY458750 ACU458747:ACU458750 AMQ458747:AMQ458750 AWM458747:AWM458750 BGI458747:BGI458750 BQE458747:BQE458750 CAA458747:CAA458750 CJW458747:CJW458750 CTS458747:CTS458750 DDO458747:DDO458750 DNK458747:DNK458750 DXG458747:DXG458750 EHC458747:EHC458750 EQY458747:EQY458750 FAU458747:FAU458750 FKQ458747:FKQ458750 FUM458747:FUM458750 GEI458747:GEI458750 GOE458747:GOE458750 GYA458747:GYA458750 HHW458747:HHW458750 HRS458747:HRS458750 IBO458747:IBO458750 ILK458747:ILK458750 IVG458747:IVG458750 JFC458747:JFC458750 JOY458747:JOY458750 JYU458747:JYU458750 KIQ458747:KIQ458750 KSM458747:KSM458750 LCI458747:LCI458750 LME458747:LME458750 LWA458747:LWA458750 MFW458747:MFW458750 MPS458747:MPS458750 MZO458747:MZO458750 NJK458747:NJK458750 NTG458747:NTG458750 ODC458747:ODC458750 OMY458747:OMY458750 OWU458747:OWU458750 PGQ458747:PGQ458750 PQM458747:PQM458750 QAI458747:QAI458750 QKE458747:QKE458750 QUA458747:QUA458750 RDW458747:RDW458750 RNS458747:RNS458750 RXO458747:RXO458750 SHK458747:SHK458750 SRG458747:SRG458750 TBC458747:TBC458750 TKY458747:TKY458750 TUU458747:TUU458750 UEQ458747:UEQ458750 UOM458747:UOM458750 UYI458747:UYI458750 VIE458747:VIE458750 VSA458747:VSA458750 WBW458747:WBW458750 WLS458747:WLS458750 WVO458747:WVO458750 G524283:G524286 JC524283:JC524286 SY524283:SY524286 ACU524283:ACU524286 AMQ524283:AMQ524286 AWM524283:AWM524286 BGI524283:BGI524286 BQE524283:BQE524286 CAA524283:CAA524286 CJW524283:CJW524286 CTS524283:CTS524286 DDO524283:DDO524286 DNK524283:DNK524286 DXG524283:DXG524286 EHC524283:EHC524286 EQY524283:EQY524286 FAU524283:FAU524286 FKQ524283:FKQ524286 FUM524283:FUM524286 GEI524283:GEI524286 GOE524283:GOE524286 GYA524283:GYA524286 HHW524283:HHW524286 HRS524283:HRS524286 IBO524283:IBO524286 ILK524283:ILK524286 IVG524283:IVG524286 JFC524283:JFC524286 JOY524283:JOY524286 JYU524283:JYU524286 KIQ524283:KIQ524286 KSM524283:KSM524286 LCI524283:LCI524286 LME524283:LME524286 LWA524283:LWA524286 MFW524283:MFW524286 MPS524283:MPS524286 MZO524283:MZO524286 NJK524283:NJK524286 NTG524283:NTG524286 ODC524283:ODC524286 OMY524283:OMY524286 OWU524283:OWU524286 PGQ524283:PGQ524286 PQM524283:PQM524286 QAI524283:QAI524286 QKE524283:QKE524286 QUA524283:QUA524286 RDW524283:RDW524286 RNS524283:RNS524286 RXO524283:RXO524286 SHK524283:SHK524286 SRG524283:SRG524286 TBC524283:TBC524286 TKY524283:TKY524286 TUU524283:TUU524286 UEQ524283:UEQ524286 UOM524283:UOM524286 UYI524283:UYI524286 VIE524283:VIE524286 VSA524283:VSA524286 WBW524283:WBW524286 WLS524283:WLS524286 WVO524283:WVO524286 G589819:G589822 JC589819:JC589822 SY589819:SY589822 ACU589819:ACU589822 AMQ589819:AMQ589822 AWM589819:AWM589822 BGI589819:BGI589822 BQE589819:BQE589822 CAA589819:CAA589822 CJW589819:CJW589822 CTS589819:CTS589822 DDO589819:DDO589822 DNK589819:DNK589822 DXG589819:DXG589822 EHC589819:EHC589822 EQY589819:EQY589822 FAU589819:FAU589822 FKQ589819:FKQ589822 FUM589819:FUM589822 GEI589819:GEI589822 GOE589819:GOE589822 GYA589819:GYA589822 HHW589819:HHW589822 HRS589819:HRS589822 IBO589819:IBO589822 ILK589819:ILK589822 IVG589819:IVG589822 JFC589819:JFC589822 JOY589819:JOY589822 JYU589819:JYU589822 KIQ589819:KIQ589822 KSM589819:KSM589822 LCI589819:LCI589822 LME589819:LME589822 LWA589819:LWA589822 MFW589819:MFW589822 MPS589819:MPS589822 MZO589819:MZO589822 NJK589819:NJK589822 NTG589819:NTG589822 ODC589819:ODC589822 OMY589819:OMY589822 OWU589819:OWU589822 PGQ589819:PGQ589822 PQM589819:PQM589822 QAI589819:QAI589822 QKE589819:QKE589822 QUA589819:QUA589822 RDW589819:RDW589822 RNS589819:RNS589822 RXO589819:RXO589822 SHK589819:SHK589822 SRG589819:SRG589822 TBC589819:TBC589822 TKY589819:TKY589822 TUU589819:TUU589822 UEQ589819:UEQ589822 UOM589819:UOM589822 UYI589819:UYI589822 VIE589819:VIE589822 VSA589819:VSA589822 WBW589819:WBW589822 WLS589819:WLS589822 WVO589819:WVO589822 G655355:G655358 JC655355:JC655358 SY655355:SY655358 ACU655355:ACU655358 AMQ655355:AMQ655358 AWM655355:AWM655358 BGI655355:BGI655358 BQE655355:BQE655358 CAA655355:CAA655358 CJW655355:CJW655358 CTS655355:CTS655358 DDO655355:DDO655358 DNK655355:DNK655358 DXG655355:DXG655358 EHC655355:EHC655358 EQY655355:EQY655358 FAU655355:FAU655358 FKQ655355:FKQ655358 FUM655355:FUM655358 GEI655355:GEI655358 GOE655355:GOE655358 GYA655355:GYA655358 HHW655355:HHW655358 HRS655355:HRS655358 IBO655355:IBO655358 ILK655355:ILK655358 IVG655355:IVG655358 JFC655355:JFC655358 JOY655355:JOY655358 JYU655355:JYU655358 KIQ655355:KIQ655358 KSM655355:KSM655358 LCI655355:LCI655358 LME655355:LME655358 LWA655355:LWA655358 MFW655355:MFW655358 MPS655355:MPS655358 MZO655355:MZO655358 NJK655355:NJK655358 NTG655355:NTG655358 ODC655355:ODC655358 OMY655355:OMY655358 OWU655355:OWU655358 PGQ655355:PGQ655358 PQM655355:PQM655358 QAI655355:QAI655358 QKE655355:QKE655358 QUA655355:QUA655358 RDW655355:RDW655358 RNS655355:RNS655358 RXO655355:RXO655358 SHK655355:SHK655358 SRG655355:SRG655358 TBC655355:TBC655358 TKY655355:TKY655358 TUU655355:TUU655358 UEQ655355:UEQ655358 UOM655355:UOM655358 UYI655355:UYI655358 VIE655355:VIE655358 VSA655355:VSA655358 WBW655355:WBW655358 WLS655355:WLS655358 WVO655355:WVO655358 G720891:G720894 JC720891:JC720894 SY720891:SY720894 ACU720891:ACU720894 AMQ720891:AMQ720894 AWM720891:AWM720894 BGI720891:BGI720894 BQE720891:BQE720894 CAA720891:CAA720894 CJW720891:CJW720894 CTS720891:CTS720894 DDO720891:DDO720894 DNK720891:DNK720894 DXG720891:DXG720894 EHC720891:EHC720894 EQY720891:EQY720894 FAU720891:FAU720894 FKQ720891:FKQ720894 FUM720891:FUM720894 GEI720891:GEI720894 GOE720891:GOE720894 GYA720891:GYA720894 HHW720891:HHW720894 HRS720891:HRS720894 IBO720891:IBO720894 ILK720891:ILK720894 IVG720891:IVG720894 JFC720891:JFC720894 JOY720891:JOY720894 JYU720891:JYU720894 KIQ720891:KIQ720894 KSM720891:KSM720894 LCI720891:LCI720894 LME720891:LME720894 LWA720891:LWA720894 MFW720891:MFW720894 MPS720891:MPS720894 MZO720891:MZO720894 NJK720891:NJK720894 NTG720891:NTG720894 ODC720891:ODC720894 OMY720891:OMY720894 OWU720891:OWU720894 PGQ720891:PGQ720894 PQM720891:PQM720894 QAI720891:QAI720894 QKE720891:QKE720894 QUA720891:QUA720894 RDW720891:RDW720894 RNS720891:RNS720894 RXO720891:RXO720894 SHK720891:SHK720894 SRG720891:SRG720894 TBC720891:TBC720894 TKY720891:TKY720894 TUU720891:TUU720894 UEQ720891:UEQ720894 UOM720891:UOM720894 UYI720891:UYI720894 VIE720891:VIE720894 VSA720891:VSA720894 WBW720891:WBW720894 WLS720891:WLS720894 WVO720891:WVO720894 G786427:G786430 JC786427:JC786430 SY786427:SY786430 ACU786427:ACU786430 AMQ786427:AMQ786430 AWM786427:AWM786430 BGI786427:BGI786430 BQE786427:BQE786430 CAA786427:CAA786430 CJW786427:CJW786430 CTS786427:CTS786430 DDO786427:DDO786430 DNK786427:DNK786430 DXG786427:DXG786430 EHC786427:EHC786430 EQY786427:EQY786430 FAU786427:FAU786430 FKQ786427:FKQ786430 FUM786427:FUM786430 GEI786427:GEI786430 GOE786427:GOE786430 GYA786427:GYA786430 HHW786427:HHW786430 HRS786427:HRS786430 IBO786427:IBO786430 ILK786427:ILK786430 IVG786427:IVG786430 JFC786427:JFC786430 JOY786427:JOY786430 JYU786427:JYU786430 KIQ786427:KIQ786430 KSM786427:KSM786430 LCI786427:LCI786430 LME786427:LME786430 LWA786427:LWA786430 MFW786427:MFW786430 MPS786427:MPS786430 MZO786427:MZO786430 NJK786427:NJK786430 NTG786427:NTG786430 ODC786427:ODC786430 OMY786427:OMY786430 OWU786427:OWU786430 PGQ786427:PGQ786430 PQM786427:PQM786430 QAI786427:QAI786430 QKE786427:QKE786430 QUA786427:QUA786430 RDW786427:RDW786430 RNS786427:RNS786430 RXO786427:RXO786430 SHK786427:SHK786430 SRG786427:SRG786430 TBC786427:TBC786430 TKY786427:TKY786430 TUU786427:TUU786430 UEQ786427:UEQ786430 UOM786427:UOM786430 UYI786427:UYI786430 VIE786427:VIE786430 VSA786427:VSA786430 WBW786427:WBW786430 WLS786427:WLS786430 WVO786427:WVO786430 G851963:G851966 JC851963:JC851966 SY851963:SY851966 ACU851963:ACU851966 AMQ851963:AMQ851966 AWM851963:AWM851966 BGI851963:BGI851966 BQE851963:BQE851966 CAA851963:CAA851966 CJW851963:CJW851966 CTS851963:CTS851966 DDO851963:DDO851966 DNK851963:DNK851966 DXG851963:DXG851966 EHC851963:EHC851966 EQY851963:EQY851966 FAU851963:FAU851966 FKQ851963:FKQ851966 FUM851963:FUM851966 GEI851963:GEI851966 GOE851963:GOE851966 GYA851963:GYA851966 HHW851963:HHW851966 HRS851963:HRS851966 IBO851963:IBO851966 ILK851963:ILK851966 IVG851963:IVG851966 JFC851963:JFC851966 JOY851963:JOY851966 JYU851963:JYU851966 KIQ851963:KIQ851966 KSM851963:KSM851966 LCI851963:LCI851966 LME851963:LME851966 LWA851963:LWA851966 MFW851963:MFW851966 MPS851963:MPS851966 MZO851963:MZO851966 NJK851963:NJK851966 NTG851963:NTG851966 ODC851963:ODC851966 OMY851963:OMY851966 OWU851963:OWU851966 PGQ851963:PGQ851966 PQM851963:PQM851966 QAI851963:QAI851966 QKE851963:QKE851966 QUA851963:QUA851966 RDW851963:RDW851966 RNS851963:RNS851966 RXO851963:RXO851966 SHK851963:SHK851966 SRG851963:SRG851966 TBC851963:TBC851966 TKY851963:TKY851966 TUU851963:TUU851966 UEQ851963:UEQ851966 UOM851963:UOM851966 UYI851963:UYI851966 VIE851963:VIE851966 VSA851963:VSA851966 WBW851963:WBW851966 WLS851963:WLS851966 WVO851963:WVO851966 G917499:G917502 JC917499:JC917502 SY917499:SY917502 ACU917499:ACU917502 AMQ917499:AMQ917502 AWM917499:AWM917502 BGI917499:BGI917502 BQE917499:BQE917502 CAA917499:CAA917502 CJW917499:CJW917502 CTS917499:CTS917502 DDO917499:DDO917502 DNK917499:DNK917502 DXG917499:DXG917502 EHC917499:EHC917502 EQY917499:EQY917502 FAU917499:FAU917502 FKQ917499:FKQ917502 FUM917499:FUM917502 GEI917499:GEI917502 GOE917499:GOE917502 GYA917499:GYA917502 HHW917499:HHW917502 HRS917499:HRS917502 IBO917499:IBO917502 ILK917499:ILK917502 IVG917499:IVG917502 JFC917499:JFC917502 JOY917499:JOY917502 JYU917499:JYU917502 KIQ917499:KIQ917502 KSM917499:KSM917502 LCI917499:LCI917502 LME917499:LME917502 LWA917499:LWA917502 MFW917499:MFW917502 MPS917499:MPS917502 MZO917499:MZO917502 NJK917499:NJK917502 NTG917499:NTG917502 ODC917499:ODC917502 OMY917499:OMY917502 OWU917499:OWU917502 PGQ917499:PGQ917502 PQM917499:PQM917502 QAI917499:QAI917502 QKE917499:QKE917502 QUA917499:QUA917502 RDW917499:RDW917502 RNS917499:RNS917502 RXO917499:RXO917502 SHK917499:SHK917502 SRG917499:SRG917502 TBC917499:TBC917502 TKY917499:TKY917502 TUU917499:TUU917502 UEQ917499:UEQ917502 UOM917499:UOM917502 UYI917499:UYI917502 VIE917499:VIE917502 VSA917499:VSA917502 WBW917499:WBW917502 WLS917499:WLS917502 WVO917499:WVO917502 G983035:G983038 JC983035:JC983038 SY983035:SY983038 ACU983035:ACU983038 AMQ983035:AMQ983038 AWM983035:AWM983038 BGI983035:BGI983038 BQE983035:BQE983038 CAA983035:CAA983038 CJW983035:CJW983038 CTS983035:CTS983038 DDO983035:DDO983038 DNK983035:DNK983038 DXG983035:DXG983038 EHC983035:EHC983038 EQY983035:EQY983038 FAU983035:FAU983038 FKQ983035:FKQ983038 FUM983035:FUM983038 GEI983035:GEI983038 GOE983035:GOE983038 GYA983035:GYA983038 HHW983035:HHW983038 HRS983035:HRS983038 IBO983035:IBO983038 ILK983035:ILK983038 IVG983035:IVG983038 JFC983035:JFC983038 JOY983035:JOY983038 JYU983035:JYU983038 KIQ983035:KIQ983038 KSM983035:KSM983038 LCI983035:LCI983038 LME983035:LME983038 LWA983035:LWA983038 MFW983035:MFW983038 MPS983035:MPS983038 MZO983035:MZO983038 NJK983035:NJK983038 NTG983035:NTG983038 ODC983035:ODC983038 OMY983035:OMY983038 OWU983035:OWU983038 PGQ983035:PGQ983038 PQM983035:PQM983038 QAI983035:QAI983038 QKE983035:QKE983038 QUA983035:QUA983038 RDW983035:RDW983038 RNS983035:RNS983038 RXO983035:RXO983038 SHK983035:SHK983038 SRG983035:SRG983038 TBC983035:TBC983038 TKY983035:TKY983038 TUU983035:TUU983038 UEQ983035:UEQ983038 UOM983035:UOM983038 UYI983035:UYI983038 VIE983035:VIE983038 VSA983035:VSA983038 WBW983035:WBW983038 WLS983035:WLS983038 WVO983035:WVO983038 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G65527 JC65527 SY65527 ACU65527 AMQ65527 AWM65527 BGI65527 BQE65527 CAA65527 CJW65527 CTS65527 DDO65527 DNK65527 DXG65527 EHC65527 EQY65527 FAU65527 FKQ65527 FUM65527 GEI65527 GOE65527 GYA65527 HHW65527 HRS65527 IBO65527 ILK65527 IVG65527 JFC65527 JOY65527 JYU65527 KIQ65527 KSM65527 LCI65527 LME65527 LWA65527 MFW65527 MPS65527 MZO65527 NJK65527 NTG65527 ODC65527 OMY65527 OWU65527 PGQ65527 PQM65527 QAI65527 QKE65527 QUA65527 RDW65527 RNS65527 RXO65527 SHK65527 SRG65527 TBC65527 TKY65527 TUU65527 UEQ65527 UOM65527 UYI65527 VIE65527 VSA65527 WBW65527 WLS65527 WVO65527 G131063 JC131063 SY131063 ACU131063 AMQ131063 AWM131063 BGI131063 BQE131063 CAA131063 CJW131063 CTS131063 DDO131063 DNK131063 DXG131063 EHC131063 EQY131063 FAU131063 FKQ131063 FUM131063 GEI131063 GOE131063 GYA131063 HHW131063 HRS131063 IBO131063 ILK131063 IVG131063 JFC131063 JOY131063 JYU131063 KIQ131063 KSM131063 LCI131063 LME131063 LWA131063 MFW131063 MPS131063 MZO131063 NJK131063 NTG131063 ODC131063 OMY131063 OWU131063 PGQ131063 PQM131063 QAI131063 QKE131063 QUA131063 RDW131063 RNS131063 RXO131063 SHK131063 SRG131063 TBC131063 TKY131063 TUU131063 UEQ131063 UOM131063 UYI131063 VIE131063 VSA131063 WBW131063 WLS131063 WVO131063 G196599 JC196599 SY196599 ACU196599 AMQ196599 AWM196599 BGI196599 BQE196599 CAA196599 CJW196599 CTS196599 DDO196599 DNK196599 DXG196599 EHC196599 EQY196599 FAU196599 FKQ196599 FUM196599 GEI196599 GOE196599 GYA196599 HHW196599 HRS196599 IBO196599 ILK196599 IVG196599 JFC196599 JOY196599 JYU196599 KIQ196599 KSM196599 LCI196599 LME196599 LWA196599 MFW196599 MPS196599 MZO196599 NJK196599 NTG196599 ODC196599 OMY196599 OWU196599 PGQ196599 PQM196599 QAI196599 QKE196599 QUA196599 RDW196599 RNS196599 RXO196599 SHK196599 SRG196599 TBC196599 TKY196599 TUU196599 UEQ196599 UOM196599 UYI196599 VIE196599 VSA196599 WBW196599 WLS196599 WVO196599 G262135 JC262135 SY262135 ACU262135 AMQ262135 AWM262135 BGI262135 BQE262135 CAA262135 CJW262135 CTS262135 DDO262135 DNK262135 DXG262135 EHC262135 EQY262135 FAU262135 FKQ262135 FUM262135 GEI262135 GOE262135 GYA262135 HHW262135 HRS262135 IBO262135 ILK262135 IVG262135 JFC262135 JOY262135 JYU262135 KIQ262135 KSM262135 LCI262135 LME262135 LWA262135 MFW262135 MPS262135 MZO262135 NJK262135 NTG262135 ODC262135 OMY262135 OWU262135 PGQ262135 PQM262135 QAI262135 QKE262135 QUA262135 RDW262135 RNS262135 RXO262135 SHK262135 SRG262135 TBC262135 TKY262135 TUU262135 UEQ262135 UOM262135 UYI262135 VIE262135 VSA262135 WBW262135 WLS262135 WVO262135 G327671 JC327671 SY327671 ACU327671 AMQ327671 AWM327671 BGI327671 BQE327671 CAA327671 CJW327671 CTS327671 DDO327671 DNK327671 DXG327671 EHC327671 EQY327671 FAU327671 FKQ327671 FUM327671 GEI327671 GOE327671 GYA327671 HHW327671 HRS327671 IBO327671 ILK327671 IVG327671 JFC327671 JOY327671 JYU327671 KIQ327671 KSM327671 LCI327671 LME327671 LWA327671 MFW327671 MPS327671 MZO327671 NJK327671 NTG327671 ODC327671 OMY327671 OWU327671 PGQ327671 PQM327671 QAI327671 QKE327671 QUA327671 RDW327671 RNS327671 RXO327671 SHK327671 SRG327671 TBC327671 TKY327671 TUU327671 UEQ327671 UOM327671 UYI327671 VIE327671 VSA327671 WBW327671 WLS327671 WVO327671 G393207 JC393207 SY393207 ACU393207 AMQ393207 AWM393207 BGI393207 BQE393207 CAA393207 CJW393207 CTS393207 DDO393207 DNK393207 DXG393207 EHC393207 EQY393207 FAU393207 FKQ393207 FUM393207 GEI393207 GOE393207 GYA393207 HHW393207 HRS393207 IBO393207 ILK393207 IVG393207 JFC393207 JOY393207 JYU393207 KIQ393207 KSM393207 LCI393207 LME393207 LWA393207 MFW393207 MPS393207 MZO393207 NJK393207 NTG393207 ODC393207 OMY393207 OWU393207 PGQ393207 PQM393207 QAI393207 QKE393207 QUA393207 RDW393207 RNS393207 RXO393207 SHK393207 SRG393207 TBC393207 TKY393207 TUU393207 UEQ393207 UOM393207 UYI393207 VIE393207 VSA393207 WBW393207 WLS393207 WVO393207 G458743 JC458743 SY458743 ACU458743 AMQ458743 AWM458743 BGI458743 BQE458743 CAA458743 CJW458743 CTS458743 DDO458743 DNK458743 DXG458743 EHC458743 EQY458743 FAU458743 FKQ458743 FUM458743 GEI458743 GOE458743 GYA458743 HHW458743 HRS458743 IBO458743 ILK458743 IVG458743 JFC458743 JOY458743 JYU458743 KIQ458743 KSM458743 LCI458743 LME458743 LWA458743 MFW458743 MPS458743 MZO458743 NJK458743 NTG458743 ODC458743 OMY458743 OWU458743 PGQ458743 PQM458743 QAI458743 QKE458743 QUA458743 RDW458743 RNS458743 RXO458743 SHK458743 SRG458743 TBC458743 TKY458743 TUU458743 UEQ458743 UOM458743 UYI458743 VIE458743 VSA458743 WBW458743 WLS458743 WVO458743 G524279 JC524279 SY524279 ACU524279 AMQ524279 AWM524279 BGI524279 BQE524279 CAA524279 CJW524279 CTS524279 DDO524279 DNK524279 DXG524279 EHC524279 EQY524279 FAU524279 FKQ524279 FUM524279 GEI524279 GOE524279 GYA524279 HHW524279 HRS524279 IBO524279 ILK524279 IVG524279 JFC524279 JOY524279 JYU524279 KIQ524279 KSM524279 LCI524279 LME524279 LWA524279 MFW524279 MPS524279 MZO524279 NJK524279 NTG524279 ODC524279 OMY524279 OWU524279 PGQ524279 PQM524279 QAI524279 QKE524279 QUA524279 RDW524279 RNS524279 RXO524279 SHK524279 SRG524279 TBC524279 TKY524279 TUU524279 UEQ524279 UOM524279 UYI524279 VIE524279 VSA524279 WBW524279 WLS524279 WVO524279 G589815 JC589815 SY589815 ACU589815 AMQ589815 AWM589815 BGI589815 BQE589815 CAA589815 CJW589815 CTS589815 DDO589815 DNK589815 DXG589815 EHC589815 EQY589815 FAU589815 FKQ589815 FUM589815 GEI589815 GOE589815 GYA589815 HHW589815 HRS589815 IBO589815 ILK589815 IVG589815 JFC589815 JOY589815 JYU589815 KIQ589815 KSM589815 LCI589815 LME589815 LWA589815 MFW589815 MPS589815 MZO589815 NJK589815 NTG589815 ODC589815 OMY589815 OWU589815 PGQ589815 PQM589815 QAI589815 QKE589815 QUA589815 RDW589815 RNS589815 RXO589815 SHK589815 SRG589815 TBC589815 TKY589815 TUU589815 UEQ589815 UOM589815 UYI589815 VIE589815 VSA589815 WBW589815 WLS589815 WVO589815 G655351 JC655351 SY655351 ACU655351 AMQ655351 AWM655351 BGI655351 BQE655351 CAA655351 CJW655351 CTS655351 DDO655351 DNK655351 DXG655351 EHC655351 EQY655351 FAU655351 FKQ655351 FUM655351 GEI655351 GOE655351 GYA655351 HHW655351 HRS655351 IBO655351 ILK655351 IVG655351 JFC655351 JOY655351 JYU655351 KIQ655351 KSM655351 LCI655351 LME655351 LWA655351 MFW655351 MPS655351 MZO655351 NJK655351 NTG655351 ODC655351 OMY655351 OWU655351 PGQ655351 PQM655351 QAI655351 QKE655351 QUA655351 RDW655351 RNS655351 RXO655351 SHK655351 SRG655351 TBC655351 TKY655351 TUU655351 UEQ655351 UOM655351 UYI655351 VIE655351 VSA655351 WBW655351 WLS655351 WVO655351 G720887 JC720887 SY720887 ACU720887 AMQ720887 AWM720887 BGI720887 BQE720887 CAA720887 CJW720887 CTS720887 DDO720887 DNK720887 DXG720887 EHC720887 EQY720887 FAU720887 FKQ720887 FUM720887 GEI720887 GOE720887 GYA720887 HHW720887 HRS720887 IBO720887 ILK720887 IVG720887 JFC720887 JOY720887 JYU720887 KIQ720887 KSM720887 LCI720887 LME720887 LWA720887 MFW720887 MPS720887 MZO720887 NJK720887 NTG720887 ODC720887 OMY720887 OWU720887 PGQ720887 PQM720887 QAI720887 QKE720887 QUA720887 RDW720887 RNS720887 RXO720887 SHK720887 SRG720887 TBC720887 TKY720887 TUU720887 UEQ720887 UOM720887 UYI720887 VIE720887 VSA720887 WBW720887 WLS720887 WVO720887 G786423 JC786423 SY786423 ACU786423 AMQ786423 AWM786423 BGI786423 BQE786423 CAA786423 CJW786423 CTS786423 DDO786423 DNK786423 DXG786423 EHC786423 EQY786423 FAU786423 FKQ786423 FUM786423 GEI786423 GOE786423 GYA786423 HHW786423 HRS786423 IBO786423 ILK786423 IVG786423 JFC786423 JOY786423 JYU786423 KIQ786423 KSM786423 LCI786423 LME786423 LWA786423 MFW786423 MPS786423 MZO786423 NJK786423 NTG786423 ODC786423 OMY786423 OWU786423 PGQ786423 PQM786423 QAI786423 QKE786423 QUA786423 RDW786423 RNS786423 RXO786423 SHK786423 SRG786423 TBC786423 TKY786423 TUU786423 UEQ786423 UOM786423 UYI786423 VIE786423 VSA786423 WBW786423 WLS786423 WVO786423 G851959 JC851959 SY851959 ACU851959 AMQ851959 AWM851959 BGI851959 BQE851959 CAA851959 CJW851959 CTS851959 DDO851959 DNK851959 DXG851959 EHC851959 EQY851959 FAU851959 FKQ851959 FUM851959 GEI851959 GOE851959 GYA851959 HHW851959 HRS851959 IBO851959 ILK851959 IVG851959 JFC851959 JOY851959 JYU851959 KIQ851959 KSM851959 LCI851959 LME851959 LWA851959 MFW851959 MPS851959 MZO851959 NJK851959 NTG851959 ODC851959 OMY851959 OWU851959 PGQ851959 PQM851959 QAI851959 QKE851959 QUA851959 RDW851959 RNS851959 RXO851959 SHK851959 SRG851959 TBC851959 TKY851959 TUU851959 UEQ851959 UOM851959 UYI851959 VIE851959 VSA851959 WBW851959 WLS851959 WVO851959 G917495 JC917495 SY917495 ACU917495 AMQ917495 AWM917495 BGI917495 BQE917495 CAA917495 CJW917495 CTS917495 DDO917495 DNK917495 DXG917495 EHC917495 EQY917495 FAU917495 FKQ917495 FUM917495 GEI917495 GOE917495 GYA917495 HHW917495 HRS917495 IBO917495 ILK917495 IVG917495 JFC917495 JOY917495 JYU917495 KIQ917495 KSM917495 LCI917495 LME917495 LWA917495 MFW917495 MPS917495 MZO917495 NJK917495 NTG917495 ODC917495 OMY917495 OWU917495 PGQ917495 PQM917495 QAI917495 QKE917495 QUA917495 RDW917495 RNS917495 RXO917495 SHK917495 SRG917495 TBC917495 TKY917495 TUU917495 UEQ917495 UOM917495 UYI917495 VIE917495 VSA917495 WBW917495 WLS917495 WVO917495 G983031 JC983031 SY983031 ACU983031 AMQ983031 AWM983031 BGI983031 BQE983031 CAA983031 CJW983031 CTS983031 DDO983031 DNK983031 DXG983031 EHC983031 EQY983031 FAU983031 FKQ983031 FUM983031 GEI983031 GOE983031 GYA983031 HHW983031 HRS983031 IBO983031 ILK983031 IVG983031 JFC983031 JOY983031 JYU983031 KIQ983031 KSM983031 LCI983031 LME983031 LWA983031 MFW983031 MPS983031 MZO983031 NJK983031 NTG983031 ODC983031 OMY983031 OWU983031 PGQ983031 PQM983031 QAI983031 QKE983031 QUA983031 RDW983031 RNS983031 RXO983031 SHK983031 SRG983031 TBC983031 TKY983031 TUU983031 UEQ983031 UOM983031 UYI983031 VIE983031 VSA983031 WBW983031 WLS983031 WVO983031 G10 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G65529 JC65529 SY65529 ACU65529 AMQ65529 AWM65529 BGI65529 BQE65529 CAA65529 CJW65529 CTS65529 DDO65529 DNK65529 DXG65529 EHC65529 EQY65529 FAU65529 FKQ65529 FUM65529 GEI65529 GOE65529 GYA65529 HHW65529 HRS65529 IBO65529 ILK65529 IVG65529 JFC65529 JOY65529 JYU65529 KIQ65529 KSM65529 LCI65529 LME65529 LWA65529 MFW65529 MPS65529 MZO65529 NJK65529 NTG65529 ODC65529 OMY65529 OWU65529 PGQ65529 PQM65529 QAI65529 QKE65529 QUA65529 RDW65529 RNS65529 RXO65529 SHK65529 SRG65529 TBC65529 TKY65529 TUU65529 UEQ65529 UOM65529 UYI65529 VIE65529 VSA65529 WBW65529 WLS65529 WVO65529 G131065 JC131065 SY131065 ACU131065 AMQ131065 AWM131065 BGI131065 BQE131065 CAA131065 CJW131065 CTS131065 DDO131065 DNK131065 DXG131065 EHC131065 EQY131065 FAU131065 FKQ131065 FUM131065 GEI131065 GOE131065 GYA131065 HHW131065 HRS131065 IBO131065 ILK131065 IVG131065 JFC131065 JOY131065 JYU131065 KIQ131065 KSM131065 LCI131065 LME131065 LWA131065 MFW131065 MPS131065 MZO131065 NJK131065 NTG131065 ODC131065 OMY131065 OWU131065 PGQ131065 PQM131065 QAI131065 QKE131065 QUA131065 RDW131065 RNS131065 RXO131065 SHK131065 SRG131065 TBC131065 TKY131065 TUU131065 UEQ131065 UOM131065 UYI131065 VIE131065 VSA131065 WBW131065 WLS131065 WVO131065 G196601 JC196601 SY196601 ACU196601 AMQ196601 AWM196601 BGI196601 BQE196601 CAA196601 CJW196601 CTS196601 DDO196601 DNK196601 DXG196601 EHC196601 EQY196601 FAU196601 FKQ196601 FUM196601 GEI196601 GOE196601 GYA196601 HHW196601 HRS196601 IBO196601 ILK196601 IVG196601 JFC196601 JOY196601 JYU196601 KIQ196601 KSM196601 LCI196601 LME196601 LWA196601 MFW196601 MPS196601 MZO196601 NJK196601 NTG196601 ODC196601 OMY196601 OWU196601 PGQ196601 PQM196601 QAI196601 QKE196601 QUA196601 RDW196601 RNS196601 RXO196601 SHK196601 SRG196601 TBC196601 TKY196601 TUU196601 UEQ196601 UOM196601 UYI196601 VIE196601 VSA196601 WBW196601 WLS196601 WVO196601 G262137 JC262137 SY262137 ACU262137 AMQ262137 AWM262137 BGI262137 BQE262137 CAA262137 CJW262137 CTS262137 DDO262137 DNK262137 DXG262137 EHC262137 EQY262137 FAU262137 FKQ262137 FUM262137 GEI262137 GOE262137 GYA262137 HHW262137 HRS262137 IBO262137 ILK262137 IVG262137 JFC262137 JOY262137 JYU262137 KIQ262137 KSM262137 LCI262137 LME262137 LWA262137 MFW262137 MPS262137 MZO262137 NJK262137 NTG262137 ODC262137 OMY262137 OWU262137 PGQ262137 PQM262137 QAI262137 QKE262137 QUA262137 RDW262137 RNS262137 RXO262137 SHK262137 SRG262137 TBC262137 TKY262137 TUU262137 UEQ262137 UOM262137 UYI262137 VIE262137 VSA262137 WBW262137 WLS262137 WVO262137 G327673 JC327673 SY327673 ACU327673 AMQ327673 AWM327673 BGI327673 BQE327673 CAA327673 CJW327673 CTS327673 DDO327673 DNK327673 DXG327673 EHC327673 EQY327673 FAU327673 FKQ327673 FUM327673 GEI327673 GOE327673 GYA327673 HHW327673 HRS327673 IBO327673 ILK327673 IVG327673 JFC327673 JOY327673 JYU327673 KIQ327673 KSM327673 LCI327673 LME327673 LWA327673 MFW327673 MPS327673 MZO327673 NJK327673 NTG327673 ODC327673 OMY327673 OWU327673 PGQ327673 PQM327673 QAI327673 QKE327673 QUA327673 RDW327673 RNS327673 RXO327673 SHK327673 SRG327673 TBC327673 TKY327673 TUU327673 UEQ327673 UOM327673 UYI327673 VIE327673 VSA327673 WBW327673 WLS327673 WVO327673 G393209 JC393209 SY393209 ACU393209 AMQ393209 AWM393209 BGI393209 BQE393209 CAA393209 CJW393209 CTS393209 DDO393209 DNK393209 DXG393209 EHC393209 EQY393209 FAU393209 FKQ393209 FUM393209 GEI393209 GOE393209 GYA393209 HHW393209 HRS393209 IBO393209 ILK393209 IVG393209 JFC393209 JOY393209 JYU393209 KIQ393209 KSM393209 LCI393209 LME393209 LWA393209 MFW393209 MPS393209 MZO393209 NJK393209 NTG393209 ODC393209 OMY393209 OWU393209 PGQ393209 PQM393209 QAI393209 QKE393209 QUA393209 RDW393209 RNS393209 RXO393209 SHK393209 SRG393209 TBC393209 TKY393209 TUU393209 UEQ393209 UOM393209 UYI393209 VIE393209 VSA393209 WBW393209 WLS393209 WVO393209 G458745 JC458745 SY458745 ACU458745 AMQ458745 AWM458745 BGI458745 BQE458745 CAA458745 CJW458745 CTS458745 DDO458745 DNK458745 DXG458745 EHC458745 EQY458745 FAU458745 FKQ458745 FUM458745 GEI458745 GOE458745 GYA458745 HHW458745 HRS458745 IBO458745 ILK458745 IVG458745 JFC458745 JOY458745 JYU458745 KIQ458745 KSM458745 LCI458745 LME458745 LWA458745 MFW458745 MPS458745 MZO458745 NJK458745 NTG458745 ODC458745 OMY458745 OWU458745 PGQ458745 PQM458745 QAI458745 QKE458745 QUA458745 RDW458745 RNS458745 RXO458745 SHK458745 SRG458745 TBC458745 TKY458745 TUU458745 UEQ458745 UOM458745 UYI458745 VIE458745 VSA458745 WBW458745 WLS458745 WVO458745 G524281 JC524281 SY524281 ACU524281 AMQ524281 AWM524281 BGI524281 BQE524281 CAA524281 CJW524281 CTS524281 DDO524281 DNK524281 DXG524281 EHC524281 EQY524281 FAU524281 FKQ524281 FUM524281 GEI524281 GOE524281 GYA524281 HHW524281 HRS524281 IBO524281 ILK524281 IVG524281 JFC524281 JOY524281 JYU524281 KIQ524281 KSM524281 LCI524281 LME524281 LWA524281 MFW524281 MPS524281 MZO524281 NJK524281 NTG524281 ODC524281 OMY524281 OWU524281 PGQ524281 PQM524281 QAI524281 QKE524281 QUA524281 RDW524281 RNS524281 RXO524281 SHK524281 SRG524281 TBC524281 TKY524281 TUU524281 UEQ524281 UOM524281 UYI524281 VIE524281 VSA524281 WBW524281 WLS524281 WVO524281 G589817 JC589817 SY589817 ACU589817 AMQ589817 AWM589817 BGI589817 BQE589817 CAA589817 CJW589817 CTS589817 DDO589817 DNK589817 DXG589817 EHC589817 EQY589817 FAU589817 FKQ589817 FUM589817 GEI589817 GOE589817 GYA589817 HHW589817 HRS589817 IBO589817 ILK589817 IVG589817 JFC589817 JOY589817 JYU589817 KIQ589817 KSM589817 LCI589817 LME589817 LWA589817 MFW589817 MPS589817 MZO589817 NJK589817 NTG589817 ODC589817 OMY589817 OWU589817 PGQ589817 PQM589817 QAI589817 QKE589817 QUA589817 RDW589817 RNS589817 RXO589817 SHK589817 SRG589817 TBC589817 TKY589817 TUU589817 UEQ589817 UOM589817 UYI589817 VIE589817 VSA589817 WBW589817 WLS589817 WVO589817 G655353 JC655353 SY655353 ACU655353 AMQ655353 AWM655353 BGI655353 BQE655353 CAA655353 CJW655353 CTS655353 DDO655353 DNK655353 DXG655353 EHC655353 EQY655353 FAU655353 FKQ655353 FUM655353 GEI655353 GOE655353 GYA655353 HHW655353 HRS655353 IBO655353 ILK655353 IVG655353 JFC655353 JOY655353 JYU655353 KIQ655353 KSM655353 LCI655353 LME655353 LWA655353 MFW655353 MPS655353 MZO655353 NJK655353 NTG655353 ODC655353 OMY655353 OWU655353 PGQ655353 PQM655353 QAI655353 QKE655353 QUA655353 RDW655353 RNS655353 RXO655353 SHK655353 SRG655353 TBC655353 TKY655353 TUU655353 UEQ655353 UOM655353 UYI655353 VIE655353 VSA655353 WBW655353 WLS655353 WVO655353 G720889 JC720889 SY720889 ACU720889 AMQ720889 AWM720889 BGI720889 BQE720889 CAA720889 CJW720889 CTS720889 DDO720889 DNK720889 DXG720889 EHC720889 EQY720889 FAU720889 FKQ720889 FUM720889 GEI720889 GOE720889 GYA720889 HHW720889 HRS720889 IBO720889 ILK720889 IVG720889 JFC720889 JOY720889 JYU720889 KIQ720889 KSM720889 LCI720889 LME720889 LWA720889 MFW720889 MPS720889 MZO720889 NJK720889 NTG720889 ODC720889 OMY720889 OWU720889 PGQ720889 PQM720889 QAI720889 QKE720889 QUA720889 RDW720889 RNS720889 RXO720889 SHK720889 SRG720889 TBC720889 TKY720889 TUU720889 UEQ720889 UOM720889 UYI720889 VIE720889 VSA720889 WBW720889 WLS720889 WVO720889 G786425 JC786425 SY786425 ACU786425 AMQ786425 AWM786425 BGI786425 BQE786425 CAA786425 CJW786425 CTS786425 DDO786425 DNK786425 DXG786425 EHC786425 EQY786425 FAU786425 FKQ786425 FUM786425 GEI786425 GOE786425 GYA786425 HHW786425 HRS786425 IBO786425 ILK786425 IVG786425 JFC786425 JOY786425 JYU786425 KIQ786425 KSM786425 LCI786425 LME786425 LWA786425 MFW786425 MPS786425 MZO786425 NJK786425 NTG786425 ODC786425 OMY786425 OWU786425 PGQ786425 PQM786425 QAI786425 QKE786425 QUA786425 RDW786425 RNS786425 RXO786425 SHK786425 SRG786425 TBC786425 TKY786425 TUU786425 UEQ786425 UOM786425 UYI786425 VIE786425 VSA786425 WBW786425 WLS786425 WVO786425 G851961 JC851961 SY851961 ACU851961 AMQ851961 AWM851961 BGI851961 BQE851961 CAA851961 CJW851961 CTS851961 DDO851961 DNK851961 DXG851961 EHC851961 EQY851961 FAU851961 FKQ851961 FUM851961 GEI851961 GOE851961 GYA851961 HHW851961 HRS851961 IBO851961 ILK851961 IVG851961 JFC851961 JOY851961 JYU851961 KIQ851961 KSM851961 LCI851961 LME851961 LWA851961 MFW851961 MPS851961 MZO851961 NJK851961 NTG851961 ODC851961 OMY851961 OWU851961 PGQ851961 PQM851961 QAI851961 QKE851961 QUA851961 RDW851961 RNS851961 RXO851961 SHK851961 SRG851961 TBC851961 TKY851961 TUU851961 UEQ851961 UOM851961 UYI851961 VIE851961 VSA851961 WBW851961 WLS851961 WVO851961 G917497 JC917497 SY917497 ACU917497 AMQ917497 AWM917497 BGI917497 BQE917497 CAA917497 CJW917497 CTS917497 DDO917497 DNK917497 DXG917497 EHC917497 EQY917497 FAU917497 FKQ917497 FUM917497 GEI917497 GOE917497 GYA917497 HHW917497 HRS917497 IBO917497 ILK917497 IVG917497 JFC917497 JOY917497 JYU917497 KIQ917497 KSM917497 LCI917497 LME917497 LWA917497 MFW917497 MPS917497 MZO917497 NJK917497 NTG917497 ODC917497 OMY917497 OWU917497 PGQ917497 PQM917497 QAI917497 QKE917497 QUA917497 RDW917497 RNS917497 RXO917497 SHK917497 SRG917497 TBC917497 TKY917497 TUU917497 UEQ917497 UOM917497 UYI917497 VIE917497 VSA917497 WBW917497 WLS917497 WVO917497 G983033 JC983033 SY983033 ACU983033 AMQ983033 AWM983033 BGI983033 BQE983033 CAA983033 CJW983033 CTS983033 DDO983033 DNK983033 DXG983033 EHC983033 EQY983033 FAU983033 FKQ983033 FUM983033 GEI983033 GOE983033 GYA983033 HHW983033 HRS983033 IBO983033 ILK983033 IVG983033 JFC983033 JOY983033 JYU983033 KIQ983033 KSM983033 LCI983033 LME983033 LWA983033 MFW983033 MPS983033 MZO983033 NJK983033 NTG983033 ODC983033 OMY983033 OWU983033 PGQ983033 PQM983033 QAI983033 QKE983033 QUA983033 RDW983033 RNS983033 RXO983033 SHK983033 SRG983033 TBC983033 TKY983033 TUU983033 UEQ983033 UOM983033 UYI983033 VIE983033 VSA983033 WBW983033 WLS983033 WVO983033 G40:G41 JC40:JC41 SY40:SY41 ACU40:ACU41 AMQ40:AMQ41 AWM40:AWM41 BGI40:BGI41 BQE40:BQE41 CAA40:CAA41 CJW40:CJW41 CTS40:CTS41 DDO40:DDO41 DNK40:DNK41 DXG40:DXG41 EHC40:EHC41 EQY40:EQY41 FAU40:FAU41 FKQ40:FKQ41 FUM40:FUM41 GEI40:GEI41 GOE40:GOE41 GYA40:GYA41 HHW40:HHW41 HRS40:HRS41 IBO40:IBO41 ILK40:ILK41 IVG40:IVG41 JFC40:JFC41 JOY40:JOY41 JYU40:JYU41 KIQ40:KIQ41 KSM40:KSM41 LCI40:LCI41 LME40:LME41 LWA40:LWA41 MFW40:MFW41 MPS40:MPS41 MZO40:MZO41 NJK40:NJK41 NTG40:NTG41 ODC40:ODC41 OMY40:OMY41 OWU40:OWU41 PGQ40:PGQ41 PQM40:PQM41 QAI40:QAI41 QKE40:QKE41 QUA40:QUA41 RDW40:RDW41 RNS40:RNS41 RXO40:RXO41 SHK40:SHK41 SRG40:SRG41 TBC40:TBC41 TKY40:TKY41 TUU40:TUU41 UEQ40:UEQ41 UOM40:UOM41 UYI40:UYI41 VIE40:VIE41 VSA40:VSA41 WBW40:WBW41 WLS40:WLS41 WVO40:WVO41 G65570:G65571 JC65570:JC65571 SY65570:SY65571 ACU65570:ACU65571 AMQ65570:AMQ65571 AWM65570:AWM65571 BGI65570:BGI65571 BQE65570:BQE65571 CAA65570:CAA65571 CJW65570:CJW65571 CTS65570:CTS65571 DDO65570:DDO65571 DNK65570:DNK65571 DXG65570:DXG65571 EHC65570:EHC65571 EQY65570:EQY65571 FAU65570:FAU65571 FKQ65570:FKQ65571 FUM65570:FUM65571 GEI65570:GEI65571 GOE65570:GOE65571 GYA65570:GYA65571 HHW65570:HHW65571 HRS65570:HRS65571 IBO65570:IBO65571 ILK65570:ILK65571 IVG65570:IVG65571 JFC65570:JFC65571 JOY65570:JOY65571 JYU65570:JYU65571 KIQ65570:KIQ65571 KSM65570:KSM65571 LCI65570:LCI65571 LME65570:LME65571 LWA65570:LWA65571 MFW65570:MFW65571 MPS65570:MPS65571 MZO65570:MZO65571 NJK65570:NJK65571 NTG65570:NTG65571 ODC65570:ODC65571 OMY65570:OMY65571 OWU65570:OWU65571 PGQ65570:PGQ65571 PQM65570:PQM65571 QAI65570:QAI65571 QKE65570:QKE65571 QUA65570:QUA65571 RDW65570:RDW65571 RNS65570:RNS65571 RXO65570:RXO65571 SHK65570:SHK65571 SRG65570:SRG65571 TBC65570:TBC65571 TKY65570:TKY65571 TUU65570:TUU65571 UEQ65570:UEQ65571 UOM65570:UOM65571 UYI65570:UYI65571 VIE65570:VIE65571 VSA65570:VSA65571 WBW65570:WBW65571 WLS65570:WLS65571 WVO65570:WVO65571 G131106:G131107 JC131106:JC131107 SY131106:SY131107 ACU131106:ACU131107 AMQ131106:AMQ131107 AWM131106:AWM131107 BGI131106:BGI131107 BQE131106:BQE131107 CAA131106:CAA131107 CJW131106:CJW131107 CTS131106:CTS131107 DDO131106:DDO131107 DNK131106:DNK131107 DXG131106:DXG131107 EHC131106:EHC131107 EQY131106:EQY131107 FAU131106:FAU131107 FKQ131106:FKQ131107 FUM131106:FUM131107 GEI131106:GEI131107 GOE131106:GOE131107 GYA131106:GYA131107 HHW131106:HHW131107 HRS131106:HRS131107 IBO131106:IBO131107 ILK131106:ILK131107 IVG131106:IVG131107 JFC131106:JFC131107 JOY131106:JOY131107 JYU131106:JYU131107 KIQ131106:KIQ131107 KSM131106:KSM131107 LCI131106:LCI131107 LME131106:LME131107 LWA131106:LWA131107 MFW131106:MFW131107 MPS131106:MPS131107 MZO131106:MZO131107 NJK131106:NJK131107 NTG131106:NTG131107 ODC131106:ODC131107 OMY131106:OMY131107 OWU131106:OWU131107 PGQ131106:PGQ131107 PQM131106:PQM131107 QAI131106:QAI131107 QKE131106:QKE131107 QUA131106:QUA131107 RDW131106:RDW131107 RNS131106:RNS131107 RXO131106:RXO131107 SHK131106:SHK131107 SRG131106:SRG131107 TBC131106:TBC131107 TKY131106:TKY131107 TUU131106:TUU131107 UEQ131106:UEQ131107 UOM131106:UOM131107 UYI131106:UYI131107 VIE131106:VIE131107 VSA131106:VSA131107 WBW131106:WBW131107 WLS131106:WLS131107 WVO131106:WVO131107 G196642:G196643 JC196642:JC196643 SY196642:SY196643 ACU196642:ACU196643 AMQ196642:AMQ196643 AWM196642:AWM196643 BGI196642:BGI196643 BQE196642:BQE196643 CAA196642:CAA196643 CJW196642:CJW196643 CTS196642:CTS196643 DDO196642:DDO196643 DNK196642:DNK196643 DXG196642:DXG196643 EHC196642:EHC196643 EQY196642:EQY196643 FAU196642:FAU196643 FKQ196642:FKQ196643 FUM196642:FUM196643 GEI196642:GEI196643 GOE196642:GOE196643 GYA196642:GYA196643 HHW196642:HHW196643 HRS196642:HRS196643 IBO196642:IBO196643 ILK196642:ILK196643 IVG196642:IVG196643 JFC196642:JFC196643 JOY196642:JOY196643 JYU196642:JYU196643 KIQ196642:KIQ196643 KSM196642:KSM196643 LCI196642:LCI196643 LME196642:LME196643 LWA196642:LWA196643 MFW196642:MFW196643 MPS196642:MPS196643 MZO196642:MZO196643 NJK196642:NJK196643 NTG196642:NTG196643 ODC196642:ODC196643 OMY196642:OMY196643 OWU196642:OWU196643 PGQ196642:PGQ196643 PQM196642:PQM196643 QAI196642:QAI196643 QKE196642:QKE196643 QUA196642:QUA196643 RDW196642:RDW196643 RNS196642:RNS196643 RXO196642:RXO196643 SHK196642:SHK196643 SRG196642:SRG196643 TBC196642:TBC196643 TKY196642:TKY196643 TUU196642:TUU196643 UEQ196642:UEQ196643 UOM196642:UOM196643 UYI196642:UYI196643 VIE196642:VIE196643 VSA196642:VSA196643 WBW196642:WBW196643 WLS196642:WLS196643 WVO196642:WVO196643 G262178:G262179 JC262178:JC262179 SY262178:SY262179 ACU262178:ACU262179 AMQ262178:AMQ262179 AWM262178:AWM262179 BGI262178:BGI262179 BQE262178:BQE262179 CAA262178:CAA262179 CJW262178:CJW262179 CTS262178:CTS262179 DDO262178:DDO262179 DNK262178:DNK262179 DXG262178:DXG262179 EHC262178:EHC262179 EQY262178:EQY262179 FAU262178:FAU262179 FKQ262178:FKQ262179 FUM262178:FUM262179 GEI262178:GEI262179 GOE262178:GOE262179 GYA262178:GYA262179 HHW262178:HHW262179 HRS262178:HRS262179 IBO262178:IBO262179 ILK262178:ILK262179 IVG262178:IVG262179 JFC262178:JFC262179 JOY262178:JOY262179 JYU262178:JYU262179 KIQ262178:KIQ262179 KSM262178:KSM262179 LCI262178:LCI262179 LME262178:LME262179 LWA262178:LWA262179 MFW262178:MFW262179 MPS262178:MPS262179 MZO262178:MZO262179 NJK262178:NJK262179 NTG262178:NTG262179 ODC262178:ODC262179 OMY262178:OMY262179 OWU262178:OWU262179 PGQ262178:PGQ262179 PQM262178:PQM262179 QAI262178:QAI262179 QKE262178:QKE262179 QUA262178:QUA262179 RDW262178:RDW262179 RNS262178:RNS262179 RXO262178:RXO262179 SHK262178:SHK262179 SRG262178:SRG262179 TBC262178:TBC262179 TKY262178:TKY262179 TUU262178:TUU262179 UEQ262178:UEQ262179 UOM262178:UOM262179 UYI262178:UYI262179 VIE262178:VIE262179 VSA262178:VSA262179 WBW262178:WBW262179 WLS262178:WLS262179 WVO262178:WVO262179 G327714:G327715 JC327714:JC327715 SY327714:SY327715 ACU327714:ACU327715 AMQ327714:AMQ327715 AWM327714:AWM327715 BGI327714:BGI327715 BQE327714:BQE327715 CAA327714:CAA327715 CJW327714:CJW327715 CTS327714:CTS327715 DDO327714:DDO327715 DNK327714:DNK327715 DXG327714:DXG327715 EHC327714:EHC327715 EQY327714:EQY327715 FAU327714:FAU327715 FKQ327714:FKQ327715 FUM327714:FUM327715 GEI327714:GEI327715 GOE327714:GOE327715 GYA327714:GYA327715 HHW327714:HHW327715 HRS327714:HRS327715 IBO327714:IBO327715 ILK327714:ILK327715 IVG327714:IVG327715 JFC327714:JFC327715 JOY327714:JOY327715 JYU327714:JYU327715 KIQ327714:KIQ327715 KSM327714:KSM327715 LCI327714:LCI327715 LME327714:LME327715 LWA327714:LWA327715 MFW327714:MFW327715 MPS327714:MPS327715 MZO327714:MZO327715 NJK327714:NJK327715 NTG327714:NTG327715 ODC327714:ODC327715 OMY327714:OMY327715 OWU327714:OWU327715 PGQ327714:PGQ327715 PQM327714:PQM327715 QAI327714:QAI327715 QKE327714:QKE327715 QUA327714:QUA327715 RDW327714:RDW327715 RNS327714:RNS327715 RXO327714:RXO327715 SHK327714:SHK327715 SRG327714:SRG327715 TBC327714:TBC327715 TKY327714:TKY327715 TUU327714:TUU327715 UEQ327714:UEQ327715 UOM327714:UOM327715 UYI327714:UYI327715 VIE327714:VIE327715 VSA327714:VSA327715 WBW327714:WBW327715 WLS327714:WLS327715 WVO327714:WVO327715 G393250:G393251 JC393250:JC393251 SY393250:SY393251 ACU393250:ACU393251 AMQ393250:AMQ393251 AWM393250:AWM393251 BGI393250:BGI393251 BQE393250:BQE393251 CAA393250:CAA393251 CJW393250:CJW393251 CTS393250:CTS393251 DDO393250:DDO393251 DNK393250:DNK393251 DXG393250:DXG393251 EHC393250:EHC393251 EQY393250:EQY393251 FAU393250:FAU393251 FKQ393250:FKQ393251 FUM393250:FUM393251 GEI393250:GEI393251 GOE393250:GOE393251 GYA393250:GYA393251 HHW393250:HHW393251 HRS393250:HRS393251 IBO393250:IBO393251 ILK393250:ILK393251 IVG393250:IVG393251 JFC393250:JFC393251 JOY393250:JOY393251 JYU393250:JYU393251 KIQ393250:KIQ393251 KSM393250:KSM393251 LCI393250:LCI393251 LME393250:LME393251 LWA393250:LWA393251 MFW393250:MFW393251 MPS393250:MPS393251 MZO393250:MZO393251 NJK393250:NJK393251 NTG393250:NTG393251 ODC393250:ODC393251 OMY393250:OMY393251 OWU393250:OWU393251 PGQ393250:PGQ393251 PQM393250:PQM393251 QAI393250:QAI393251 QKE393250:QKE393251 QUA393250:QUA393251 RDW393250:RDW393251 RNS393250:RNS393251 RXO393250:RXO393251 SHK393250:SHK393251 SRG393250:SRG393251 TBC393250:TBC393251 TKY393250:TKY393251 TUU393250:TUU393251 UEQ393250:UEQ393251 UOM393250:UOM393251 UYI393250:UYI393251 VIE393250:VIE393251 VSA393250:VSA393251 WBW393250:WBW393251 WLS393250:WLS393251 WVO393250:WVO393251 G458786:G458787 JC458786:JC458787 SY458786:SY458787 ACU458786:ACU458787 AMQ458786:AMQ458787 AWM458786:AWM458787 BGI458786:BGI458787 BQE458786:BQE458787 CAA458786:CAA458787 CJW458786:CJW458787 CTS458786:CTS458787 DDO458786:DDO458787 DNK458786:DNK458787 DXG458786:DXG458787 EHC458786:EHC458787 EQY458786:EQY458787 FAU458786:FAU458787 FKQ458786:FKQ458787 FUM458786:FUM458787 GEI458786:GEI458787 GOE458786:GOE458787 GYA458786:GYA458787 HHW458786:HHW458787 HRS458786:HRS458787 IBO458786:IBO458787 ILK458786:ILK458787 IVG458786:IVG458787 JFC458786:JFC458787 JOY458786:JOY458787 JYU458786:JYU458787 KIQ458786:KIQ458787 KSM458786:KSM458787 LCI458786:LCI458787 LME458786:LME458787 LWA458786:LWA458787 MFW458786:MFW458787 MPS458786:MPS458787 MZO458786:MZO458787 NJK458786:NJK458787 NTG458786:NTG458787 ODC458786:ODC458787 OMY458786:OMY458787 OWU458786:OWU458787 PGQ458786:PGQ458787 PQM458786:PQM458787 QAI458786:QAI458787 QKE458786:QKE458787 QUA458786:QUA458787 RDW458786:RDW458787 RNS458786:RNS458787 RXO458786:RXO458787 SHK458786:SHK458787 SRG458786:SRG458787 TBC458786:TBC458787 TKY458786:TKY458787 TUU458786:TUU458787 UEQ458786:UEQ458787 UOM458786:UOM458787 UYI458786:UYI458787 VIE458786:VIE458787 VSA458786:VSA458787 WBW458786:WBW458787 WLS458786:WLS458787 WVO458786:WVO458787 G524322:G524323 JC524322:JC524323 SY524322:SY524323 ACU524322:ACU524323 AMQ524322:AMQ524323 AWM524322:AWM524323 BGI524322:BGI524323 BQE524322:BQE524323 CAA524322:CAA524323 CJW524322:CJW524323 CTS524322:CTS524323 DDO524322:DDO524323 DNK524322:DNK524323 DXG524322:DXG524323 EHC524322:EHC524323 EQY524322:EQY524323 FAU524322:FAU524323 FKQ524322:FKQ524323 FUM524322:FUM524323 GEI524322:GEI524323 GOE524322:GOE524323 GYA524322:GYA524323 HHW524322:HHW524323 HRS524322:HRS524323 IBO524322:IBO524323 ILK524322:ILK524323 IVG524322:IVG524323 JFC524322:JFC524323 JOY524322:JOY524323 JYU524322:JYU524323 KIQ524322:KIQ524323 KSM524322:KSM524323 LCI524322:LCI524323 LME524322:LME524323 LWA524322:LWA524323 MFW524322:MFW524323 MPS524322:MPS524323 MZO524322:MZO524323 NJK524322:NJK524323 NTG524322:NTG524323 ODC524322:ODC524323 OMY524322:OMY524323 OWU524322:OWU524323 PGQ524322:PGQ524323 PQM524322:PQM524323 QAI524322:QAI524323 QKE524322:QKE524323 QUA524322:QUA524323 RDW524322:RDW524323 RNS524322:RNS524323 RXO524322:RXO524323 SHK524322:SHK524323 SRG524322:SRG524323 TBC524322:TBC524323 TKY524322:TKY524323 TUU524322:TUU524323 UEQ524322:UEQ524323 UOM524322:UOM524323 UYI524322:UYI524323 VIE524322:VIE524323 VSA524322:VSA524323 WBW524322:WBW524323 WLS524322:WLS524323 WVO524322:WVO524323 G589858:G589859 JC589858:JC589859 SY589858:SY589859 ACU589858:ACU589859 AMQ589858:AMQ589859 AWM589858:AWM589859 BGI589858:BGI589859 BQE589858:BQE589859 CAA589858:CAA589859 CJW589858:CJW589859 CTS589858:CTS589859 DDO589858:DDO589859 DNK589858:DNK589859 DXG589858:DXG589859 EHC589858:EHC589859 EQY589858:EQY589859 FAU589858:FAU589859 FKQ589858:FKQ589859 FUM589858:FUM589859 GEI589858:GEI589859 GOE589858:GOE589859 GYA589858:GYA589859 HHW589858:HHW589859 HRS589858:HRS589859 IBO589858:IBO589859 ILK589858:ILK589859 IVG589858:IVG589859 JFC589858:JFC589859 JOY589858:JOY589859 JYU589858:JYU589859 KIQ589858:KIQ589859 KSM589858:KSM589859 LCI589858:LCI589859 LME589858:LME589859 LWA589858:LWA589859 MFW589858:MFW589859 MPS589858:MPS589859 MZO589858:MZO589859 NJK589858:NJK589859 NTG589858:NTG589859 ODC589858:ODC589859 OMY589858:OMY589859 OWU589858:OWU589859 PGQ589858:PGQ589859 PQM589858:PQM589859 QAI589858:QAI589859 QKE589858:QKE589859 QUA589858:QUA589859 RDW589858:RDW589859 RNS589858:RNS589859 RXO589858:RXO589859 SHK589858:SHK589859 SRG589858:SRG589859 TBC589858:TBC589859 TKY589858:TKY589859 TUU589858:TUU589859 UEQ589858:UEQ589859 UOM589858:UOM589859 UYI589858:UYI589859 VIE589858:VIE589859 VSA589858:VSA589859 WBW589858:WBW589859 WLS589858:WLS589859 WVO589858:WVO589859 G655394:G655395 JC655394:JC655395 SY655394:SY655395 ACU655394:ACU655395 AMQ655394:AMQ655395 AWM655394:AWM655395 BGI655394:BGI655395 BQE655394:BQE655395 CAA655394:CAA655395 CJW655394:CJW655395 CTS655394:CTS655395 DDO655394:DDO655395 DNK655394:DNK655395 DXG655394:DXG655395 EHC655394:EHC655395 EQY655394:EQY655395 FAU655394:FAU655395 FKQ655394:FKQ655395 FUM655394:FUM655395 GEI655394:GEI655395 GOE655394:GOE655395 GYA655394:GYA655395 HHW655394:HHW655395 HRS655394:HRS655395 IBO655394:IBO655395 ILK655394:ILK655395 IVG655394:IVG655395 JFC655394:JFC655395 JOY655394:JOY655395 JYU655394:JYU655395 KIQ655394:KIQ655395 KSM655394:KSM655395 LCI655394:LCI655395 LME655394:LME655395 LWA655394:LWA655395 MFW655394:MFW655395 MPS655394:MPS655395 MZO655394:MZO655395 NJK655394:NJK655395 NTG655394:NTG655395 ODC655394:ODC655395 OMY655394:OMY655395 OWU655394:OWU655395 PGQ655394:PGQ655395 PQM655394:PQM655395 QAI655394:QAI655395 QKE655394:QKE655395 QUA655394:QUA655395 RDW655394:RDW655395 RNS655394:RNS655395 RXO655394:RXO655395 SHK655394:SHK655395 SRG655394:SRG655395 TBC655394:TBC655395 TKY655394:TKY655395 TUU655394:TUU655395 UEQ655394:UEQ655395 UOM655394:UOM655395 UYI655394:UYI655395 VIE655394:VIE655395 VSA655394:VSA655395 WBW655394:WBW655395 WLS655394:WLS655395 WVO655394:WVO655395 G720930:G720931 JC720930:JC720931 SY720930:SY720931 ACU720930:ACU720931 AMQ720930:AMQ720931 AWM720930:AWM720931 BGI720930:BGI720931 BQE720930:BQE720931 CAA720930:CAA720931 CJW720930:CJW720931 CTS720930:CTS720931 DDO720930:DDO720931 DNK720930:DNK720931 DXG720930:DXG720931 EHC720930:EHC720931 EQY720930:EQY720931 FAU720930:FAU720931 FKQ720930:FKQ720931 FUM720930:FUM720931 GEI720930:GEI720931 GOE720930:GOE720931 GYA720930:GYA720931 HHW720930:HHW720931 HRS720930:HRS720931 IBO720930:IBO720931 ILK720930:ILK720931 IVG720930:IVG720931 JFC720930:JFC720931 JOY720930:JOY720931 JYU720930:JYU720931 KIQ720930:KIQ720931 KSM720930:KSM720931 LCI720930:LCI720931 LME720930:LME720931 LWA720930:LWA720931 MFW720930:MFW720931 MPS720930:MPS720931 MZO720930:MZO720931 NJK720930:NJK720931 NTG720930:NTG720931 ODC720930:ODC720931 OMY720930:OMY720931 OWU720930:OWU720931 PGQ720930:PGQ720931 PQM720930:PQM720931 QAI720930:QAI720931 QKE720930:QKE720931 QUA720930:QUA720931 RDW720930:RDW720931 RNS720930:RNS720931 RXO720930:RXO720931 SHK720930:SHK720931 SRG720930:SRG720931 TBC720930:TBC720931 TKY720930:TKY720931 TUU720930:TUU720931 UEQ720930:UEQ720931 UOM720930:UOM720931 UYI720930:UYI720931 VIE720930:VIE720931 VSA720930:VSA720931 WBW720930:WBW720931 WLS720930:WLS720931 WVO720930:WVO720931 G786466:G786467 JC786466:JC786467 SY786466:SY786467 ACU786466:ACU786467 AMQ786466:AMQ786467 AWM786466:AWM786467 BGI786466:BGI786467 BQE786466:BQE786467 CAA786466:CAA786467 CJW786466:CJW786467 CTS786466:CTS786467 DDO786466:DDO786467 DNK786466:DNK786467 DXG786466:DXG786467 EHC786466:EHC786467 EQY786466:EQY786467 FAU786466:FAU786467 FKQ786466:FKQ786467 FUM786466:FUM786467 GEI786466:GEI786467 GOE786466:GOE786467 GYA786466:GYA786467 HHW786466:HHW786467 HRS786466:HRS786467 IBO786466:IBO786467 ILK786466:ILK786467 IVG786466:IVG786467 JFC786466:JFC786467 JOY786466:JOY786467 JYU786466:JYU786467 KIQ786466:KIQ786467 KSM786466:KSM786467 LCI786466:LCI786467 LME786466:LME786467 LWA786466:LWA786467 MFW786466:MFW786467 MPS786466:MPS786467 MZO786466:MZO786467 NJK786466:NJK786467 NTG786466:NTG786467 ODC786466:ODC786467 OMY786466:OMY786467 OWU786466:OWU786467 PGQ786466:PGQ786467 PQM786466:PQM786467 QAI786466:QAI786467 QKE786466:QKE786467 QUA786466:QUA786467 RDW786466:RDW786467 RNS786466:RNS786467 RXO786466:RXO786467 SHK786466:SHK786467 SRG786466:SRG786467 TBC786466:TBC786467 TKY786466:TKY786467 TUU786466:TUU786467 UEQ786466:UEQ786467 UOM786466:UOM786467 UYI786466:UYI786467 VIE786466:VIE786467 VSA786466:VSA786467 WBW786466:WBW786467 WLS786466:WLS786467 WVO786466:WVO786467 G852002:G852003 JC852002:JC852003 SY852002:SY852003 ACU852002:ACU852003 AMQ852002:AMQ852003 AWM852002:AWM852003 BGI852002:BGI852003 BQE852002:BQE852003 CAA852002:CAA852003 CJW852002:CJW852003 CTS852002:CTS852003 DDO852002:DDO852003 DNK852002:DNK852003 DXG852002:DXG852003 EHC852002:EHC852003 EQY852002:EQY852003 FAU852002:FAU852003 FKQ852002:FKQ852003 FUM852002:FUM852003 GEI852002:GEI852003 GOE852002:GOE852003 GYA852002:GYA852003 HHW852002:HHW852003 HRS852002:HRS852003 IBO852002:IBO852003 ILK852002:ILK852003 IVG852002:IVG852003 JFC852002:JFC852003 JOY852002:JOY852003 JYU852002:JYU852003 KIQ852002:KIQ852003 KSM852002:KSM852003 LCI852002:LCI852003 LME852002:LME852003 LWA852002:LWA852003 MFW852002:MFW852003 MPS852002:MPS852003 MZO852002:MZO852003 NJK852002:NJK852003 NTG852002:NTG852003 ODC852002:ODC852003 OMY852002:OMY852003 OWU852002:OWU852003 PGQ852002:PGQ852003 PQM852002:PQM852003 QAI852002:QAI852003 QKE852002:QKE852003 QUA852002:QUA852003 RDW852002:RDW852003 RNS852002:RNS852003 RXO852002:RXO852003 SHK852002:SHK852003 SRG852002:SRG852003 TBC852002:TBC852003 TKY852002:TKY852003 TUU852002:TUU852003 UEQ852002:UEQ852003 UOM852002:UOM852003 UYI852002:UYI852003 VIE852002:VIE852003 VSA852002:VSA852003 WBW852002:WBW852003 WLS852002:WLS852003 WVO852002:WVO852003 G917538:G917539 JC917538:JC917539 SY917538:SY917539 ACU917538:ACU917539 AMQ917538:AMQ917539 AWM917538:AWM917539 BGI917538:BGI917539 BQE917538:BQE917539 CAA917538:CAA917539 CJW917538:CJW917539 CTS917538:CTS917539 DDO917538:DDO917539 DNK917538:DNK917539 DXG917538:DXG917539 EHC917538:EHC917539 EQY917538:EQY917539 FAU917538:FAU917539 FKQ917538:FKQ917539 FUM917538:FUM917539 GEI917538:GEI917539 GOE917538:GOE917539 GYA917538:GYA917539 HHW917538:HHW917539 HRS917538:HRS917539 IBO917538:IBO917539 ILK917538:ILK917539 IVG917538:IVG917539 JFC917538:JFC917539 JOY917538:JOY917539 JYU917538:JYU917539 KIQ917538:KIQ917539 KSM917538:KSM917539 LCI917538:LCI917539 LME917538:LME917539 LWA917538:LWA917539 MFW917538:MFW917539 MPS917538:MPS917539 MZO917538:MZO917539 NJK917538:NJK917539 NTG917538:NTG917539 ODC917538:ODC917539 OMY917538:OMY917539 OWU917538:OWU917539 PGQ917538:PGQ917539 PQM917538:PQM917539 QAI917538:QAI917539 QKE917538:QKE917539 QUA917538:QUA917539 RDW917538:RDW917539 RNS917538:RNS917539 RXO917538:RXO917539 SHK917538:SHK917539 SRG917538:SRG917539 TBC917538:TBC917539 TKY917538:TKY917539 TUU917538:TUU917539 UEQ917538:UEQ917539 UOM917538:UOM917539 UYI917538:UYI917539 VIE917538:VIE917539 VSA917538:VSA917539 WBW917538:WBW917539 WLS917538:WLS917539 WVO917538:WVO917539 G983074:G983075 JC983074:JC983075 SY983074:SY983075 ACU983074:ACU983075 AMQ983074:AMQ983075 AWM983074:AWM983075 BGI983074:BGI983075 BQE983074:BQE983075 CAA983074:CAA983075 CJW983074:CJW983075 CTS983074:CTS983075 DDO983074:DDO983075 DNK983074:DNK983075 DXG983074:DXG983075 EHC983074:EHC983075 EQY983074:EQY983075 FAU983074:FAU983075 FKQ983074:FKQ983075 FUM983074:FUM983075 GEI983074:GEI983075 GOE983074:GOE983075 GYA983074:GYA983075 HHW983074:HHW983075 HRS983074:HRS983075 IBO983074:IBO983075 ILK983074:ILK983075 IVG983074:IVG983075 JFC983074:JFC983075 JOY983074:JOY983075 JYU983074:JYU983075 KIQ983074:KIQ983075 KSM983074:KSM983075 LCI983074:LCI983075 LME983074:LME983075 LWA983074:LWA983075 MFW983074:MFW983075 MPS983074:MPS983075 MZO983074:MZO983075 NJK983074:NJK983075 NTG983074:NTG983075 ODC983074:ODC983075 OMY983074:OMY983075 OWU983074:OWU983075 PGQ983074:PGQ983075 PQM983074:PQM983075 QAI983074:QAI983075 QKE983074:QKE983075 QUA983074:QUA983075 RDW983074:RDW983075 RNS983074:RNS983075 RXO983074:RXO983075 SHK983074:SHK983075 SRG983074:SRG983075 TBC983074:TBC983075 TKY983074:TKY983075 TUU983074:TUU983075 UEQ983074:UEQ983075 UOM983074:UOM983075 UYI983074:UYI983075 VIE983074:VIE983075 VSA983074:VSA983075 WBW983074:WBW983075 WLS983074:WLS983075 WVO983074:WVO983075 WVO983046 JC22 SY22 ACU22 AMQ22 AWM22 BGI22 BQE22 CAA22 CJW22 CTS22 DDO22 DNK22 DXG22 EHC22 EQY22 FAU22 FKQ22 FUM22 GEI22 GOE22 GYA22 HHW22 HRS22 IBO22 ILK22 IVG22 JFC22 JOY22 JYU22 KIQ22 KSM22 LCI22 LME22 LWA22 MFW22 MPS22 MZO22 NJK22 NTG22 ODC22 OMY22 OWU22 PGQ22 PQM22 QAI22 QKE22 QUA22 RDW22 RNS22 RXO22 SHK22 SRG22 TBC22 TKY22 TUU22 UEQ22 UOM22 UYI22 VIE22 VSA22 WBW22 WLS22 WVO22 G65542 JC65542 SY65542 ACU65542 AMQ65542 AWM65542 BGI65542 BQE65542 CAA65542 CJW65542 CTS65542 DDO65542 DNK65542 DXG65542 EHC65542 EQY65542 FAU65542 FKQ65542 FUM65542 GEI65542 GOE65542 GYA65542 HHW65542 HRS65542 IBO65542 ILK65542 IVG65542 JFC65542 JOY65542 JYU65542 KIQ65542 KSM65542 LCI65542 LME65542 LWA65542 MFW65542 MPS65542 MZO65542 NJK65542 NTG65542 ODC65542 OMY65542 OWU65542 PGQ65542 PQM65542 QAI65542 QKE65542 QUA65542 RDW65542 RNS65542 RXO65542 SHK65542 SRG65542 TBC65542 TKY65542 TUU65542 UEQ65542 UOM65542 UYI65542 VIE65542 VSA65542 WBW65542 WLS65542 WVO65542 G131078 JC131078 SY131078 ACU131078 AMQ131078 AWM131078 BGI131078 BQE131078 CAA131078 CJW131078 CTS131078 DDO131078 DNK131078 DXG131078 EHC131078 EQY131078 FAU131078 FKQ131078 FUM131078 GEI131078 GOE131078 GYA131078 HHW131078 HRS131078 IBO131078 ILK131078 IVG131078 JFC131078 JOY131078 JYU131078 KIQ131078 KSM131078 LCI131078 LME131078 LWA131078 MFW131078 MPS131078 MZO131078 NJK131078 NTG131078 ODC131078 OMY131078 OWU131078 PGQ131078 PQM131078 QAI131078 QKE131078 QUA131078 RDW131078 RNS131078 RXO131078 SHK131078 SRG131078 TBC131078 TKY131078 TUU131078 UEQ131078 UOM131078 UYI131078 VIE131078 VSA131078 WBW131078 WLS131078 WVO131078 G196614 JC196614 SY196614 ACU196614 AMQ196614 AWM196614 BGI196614 BQE196614 CAA196614 CJW196614 CTS196614 DDO196614 DNK196614 DXG196614 EHC196614 EQY196614 FAU196614 FKQ196614 FUM196614 GEI196614 GOE196614 GYA196614 HHW196614 HRS196614 IBO196614 ILK196614 IVG196614 JFC196614 JOY196614 JYU196614 KIQ196614 KSM196614 LCI196614 LME196614 LWA196614 MFW196614 MPS196614 MZO196614 NJK196614 NTG196614 ODC196614 OMY196614 OWU196614 PGQ196614 PQM196614 QAI196614 QKE196614 QUA196614 RDW196614 RNS196614 RXO196614 SHK196614 SRG196614 TBC196614 TKY196614 TUU196614 UEQ196614 UOM196614 UYI196614 VIE196614 VSA196614 WBW196614 WLS196614 WVO196614 G262150 JC262150 SY262150 ACU262150 AMQ262150 AWM262150 BGI262150 BQE262150 CAA262150 CJW262150 CTS262150 DDO262150 DNK262150 DXG262150 EHC262150 EQY262150 FAU262150 FKQ262150 FUM262150 GEI262150 GOE262150 GYA262150 HHW262150 HRS262150 IBO262150 ILK262150 IVG262150 JFC262150 JOY262150 JYU262150 KIQ262150 KSM262150 LCI262150 LME262150 LWA262150 MFW262150 MPS262150 MZO262150 NJK262150 NTG262150 ODC262150 OMY262150 OWU262150 PGQ262150 PQM262150 QAI262150 QKE262150 QUA262150 RDW262150 RNS262150 RXO262150 SHK262150 SRG262150 TBC262150 TKY262150 TUU262150 UEQ262150 UOM262150 UYI262150 VIE262150 VSA262150 WBW262150 WLS262150 WVO262150 G327686 JC327686 SY327686 ACU327686 AMQ327686 AWM327686 BGI327686 BQE327686 CAA327686 CJW327686 CTS327686 DDO327686 DNK327686 DXG327686 EHC327686 EQY327686 FAU327686 FKQ327686 FUM327686 GEI327686 GOE327686 GYA327686 HHW327686 HRS327686 IBO327686 ILK327686 IVG327686 JFC327686 JOY327686 JYU327686 KIQ327686 KSM327686 LCI327686 LME327686 LWA327686 MFW327686 MPS327686 MZO327686 NJK327686 NTG327686 ODC327686 OMY327686 OWU327686 PGQ327686 PQM327686 QAI327686 QKE327686 QUA327686 RDW327686 RNS327686 RXO327686 SHK327686 SRG327686 TBC327686 TKY327686 TUU327686 UEQ327686 UOM327686 UYI327686 VIE327686 VSA327686 WBW327686 WLS327686 WVO327686 G393222 JC393222 SY393222 ACU393222 AMQ393222 AWM393222 BGI393222 BQE393222 CAA393222 CJW393222 CTS393222 DDO393222 DNK393222 DXG393222 EHC393222 EQY393222 FAU393222 FKQ393222 FUM393222 GEI393222 GOE393222 GYA393222 HHW393222 HRS393222 IBO393222 ILK393222 IVG393222 JFC393222 JOY393222 JYU393222 KIQ393222 KSM393222 LCI393222 LME393222 LWA393222 MFW393222 MPS393222 MZO393222 NJK393222 NTG393222 ODC393222 OMY393222 OWU393222 PGQ393222 PQM393222 QAI393222 QKE393222 QUA393222 RDW393222 RNS393222 RXO393222 SHK393222 SRG393222 TBC393222 TKY393222 TUU393222 UEQ393222 UOM393222 UYI393222 VIE393222 VSA393222 WBW393222 WLS393222 WVO393222 G458758 JC458758 SY458758 ACU458758 AMQ458758 AWM458758 BGI458758 BQE458758 CAA458758 CJW458758 CTS458758 DDO458758 DNK458758 DXG458758 EHC458758 EQY458758 FAU458758 FKQ458758 FUM458758 GEI458758 GOE458758 GYA458758 HHW458758 HRS458758 IBO458758 ILK458758 IVG458758 JFC458758 JOY458758 JYU458758 KIQ458758 KSM458758 LCI458758 LME458758 LWA458758 MFW458758 MPS458758 MZO458758 NJK458758 NTG458758 ODC458758 OMY458758 OWU458758 PGQ458758 PQM458758 QAI458758 QKE458758 QUA458758 RDW458758 RNS458758 RXO458758 SHK458758 SRG458758 TBC458758 TKY458758 TUU458758 UEQ458758 UOM458758 UYI458758 VIE458758 VSA458758 WBW458758 WLS458758 WVO458758 G524294 JC524294 SY524294 ACU524294 AMQ524294 AWM524294 BGI524294 BQE524294 CAA524294 CJW524294 CTS524294 DDO524294 DNK524294 DXG524294 EHC524294 EQY524294 FAU524294 FKQ524294 FUM524294 GEI524294 GOE524294 GYA524294 HHW524294 HRS524294 IBO524294 ILK524294 IVG524294 JFC524294 JOY524294 JYU524294 KIQ524294 KSM524294 LCI524294 LME524294 LWA524294 MFW524294 MPS524294 MZO524294 NJK524294 NTG524294 ODC524294 OMY524294 OWU524294 PGQ524294 PQM524294 QAI524294 QKE524294 QUA524294 RDW524294 RNS524294 RXO524294 SHK524294 SRG524294 TBC524294 TKY524294 TUU524294 UEQ524294 UOM524294 UYI524294 VIE524294 VSA524294 WBW524294 WLS524294 WVO524294 G589830 JC589830 SY589830 ACU589830 AMQ589830 AWM589830 BGI589830 BQE589830 CAA589830 CJW589830 CTS589830 DDO589830 DNK589830 DXG589830 EHC589830 EQY589830 FAU589830 FKQ589830 FUM589830 GEI589830 GOE589830 GYA589830 HHW589830 HRS589830 IBO589830 ILK589830 IVG589830 JFC589830 JOY589830 JYU589830 KIQ589830 KSM589830 LCI589830 LME589830 LWA589830 MFW589830 MPS589830 MZO589830 NJK589830 NTG589830 ODC589830 OMY589830 OWU589830 PGQ589830 PQM589830 QAI589830 QKE589830 QUA589830 RDW589830 RNS589830 RXO589830 SHK589830 SRG589830 TBC589830 TKY589830 TUU589830 UEQ589830 UOM589830 UYI589830 VIE589830 VSA589830 WBW589830 WLS589830 WVO589830 G655366 JC655366 SY655366 ACU655366 AMQ655366 AWM655366 BGI655366 BQE655366 CAA655366 CJW655366 CTS655366 DDO655366 DNK655366 DXG655366 EHC655366 EQY655366 FAU655366 FKQ655366 FUM655366 GEI655366 GOE655366 GYA655366 HHW655366 HRS655366 IBO655366 ILK655366 IVG655366 JFC655366 JOY655366 JYU655366 KIQ655366 KSM655366 LCI655366 LME655366 LWA655366 MFW655366 MPS655366 MZO655366 NJK655366 NTG655366 ODC655366 OMY655366 OWU655366 PGQ655366 PQM655366 QAI655366 QKE655366 QUA655366 RDW655366 RNS655366 RXO655366 SHK655366 SRG655366 TBC655366 TKY655366 TUU655366 UEQ655366 UOM655366 UYI655366 VIE655366 VSA655366 WBW655366 WLS655366 WVO655366 G720902 JC720902 SY720902 ACU720902 AMQ720902 AWM720902 BGI720902 BQE720902 CAA720902 CJW720902 CTS720902 DDO720902 DNK720902 DXG720902 EHC720902 EQY720902 FAU720902 FKQ720902 FUM720902 GEI720902 GOE720902 GYA720902 HHW720902 HRS720902 IBO720902 ILK720902 IVG720902 JFC720902 JOY720902 JYU720902 KIQ720902 KSM720902 LCI720902 LME720902 LWA720902 MFW720902 MPS720902 MZO720902 NJK720902 NTG720902 ODC720902 OMY720902 OWU720902 PGQ720902 PQM720902 QAI720902 QKE720902 QUA720902 RDW720902 RNS720902 RXO720902 SHK720902 SRG720902 TBC720902 TKY720902 TUU720902 UEQ720902 UOM720902 UYI720902 VIE720902 VSA720902 WBW720902 WLS720902 WVO720902 G786438 JC786438 SY786438 ACU786438 AMQ786438 AWM786438 BGI786438 BQE786438 CAA786438 CJW786438 CTS786438 DDO786438 DNK786438 DXG786438 EHC786438 EQY786438 FAU786438 FKQ786438 FUM786438 GEI786438 GOE786438 GYA786438 HHW786438 HRS786438 IBO786438 ILK786438 IVG786438 JFC786438 JOY786438 JYU786438 KIQ786438 KSM786438 LCI786438 LME786438 LWA786438 MFW786438 MPS786438 MZO786438 NJK786438 NTG786438 ODC786438 OMY786438 OWU786438 PGQ786438 PQM786438 QAI786438 QKE786438 QUA786438 RDW786438 RNS786438 RXO786438 SHK786438 SRG786438 TBC786438 TKY786438 TUU786438 UEQ786438 UOM786438 UYI786438 VIE786438 VSA786438 WBW786438 WLS786438 WVO786438 G851974 JC851974 SY851974 ACU851974 AMQ851974 AWM851974 BGI851974 BQE851974 CAA851974 CJW851974 CTS851974 DDO851974 DNK851974 DXG851974 EHC851974 EQY851974 FAU851974 FKQ851974 FUM851974 GEI851974 GOE851974 GYA851974 HHW851974 HRS851974 IBO851974 ILK851974 IVG851974 JFC851974 JOY851974 JYU851974 KIQ851974 KSM851974 LCI851974 LME851974 LWA851974 MFW851974 MPS851974 MZO851974 NJK851974 NTG851974 ODC851974 OMY851974 OWU851974 PGQ851974 PQM851974 QAI851974 QKE851974 QUA851974 RDW851974 RNS851974 RXO851974 SHK851974 SRG851974 TBC851974 TKY851974 TUU851974 UEQ851974 UOM851974 UYI851974 VIE851974 VSA851974 WBW851974 WLS851974 WVO851974 G917510 JC917510 SY917510 ACU917510 AMQ917510 AWM917510 BGI917510 BQE917510 CAA917510 CJW917510 CTS917510 DDO917510 DNK917510 DXG917510 EHC917510 EQY917510 FAU917510 FKQ917510 FUM917510 GEI917510 GOE917510 GYA917510 HHW917510 HRS917510 IBO917510 ILK917510 IVG917510 JFC917510 JOY917510 JYU917510 KIQ917510 KSM917510 LCI917510 LME917510 LWA917510 MFW917510 MPS917510 MZO917510 NJK917510 NTG917510 ODC917510 OMY917510 OWU917510 PGQ917510 PQM917510 QAI917510 QKE917510 QUA917510 RDW917510 RNS917510 RXO917510 SHK917510 SRG917510 TBC917510 TKY917510 TUU917510 UEQ917510 UOM917510 UYI917510 VIE917510 VSA917510 WBW917510 WLS917510 WVO917510 G983046 JC983046 SY983046 ACU983046 AMQ983046 AWM983046 BGI983046 BQE983046 CAA983046 CJW983046 CTS983046 DDO983046 DNK983046 DXG983046 EHC983046 EQY983046 FAU983046 FKQ983046 FUM983046 GEI983046 GOE983046 GYA983046 HHW983046 HRS983046 IBO983046 ILK983046 IVG983046 JFC983046 JOY983046 JYU983046 KIQ983046 KSM983046 LCI983046 LME983046 LWA983046 MFW983046 MPS983046 MZO983046 NJK983046 NTG983046 ODC983046 OMY983046 OWU983046 PGQ983046 PQM983046 QAI983046 QKE983046 QUA983046 RDW983046 RNS983046 RXO983046 SHK983046 SRG983046 TBC983046 TKY983046 TUU983046 UEQ983046 UOM983046 UYI983046 VIE983046 VSA983046 WBW983046 WLS983046" xr:uid="{C44DF54E-8177-48AC-B6DD-1BB2BE1DADC4}">
      <formula1>0</formula1>
      <formula2>1000</formula2>
    </dataValidation>
    <dataValidation type="decimal" allowBlank="1" showInputMessage="1" showErrorMessage="1" sqref="H65579 JD65579 SZ65579 ACV65579 AMR65579 AWN65579 BGJ65579 BQF65579 CAB65579 CJX65579 CTT65579 DDP65579 DNL65579 DXH65579 EHD65579 EQZ65579 FAV65579 FKR65579 FUN65579 GEJ65579 GOF65579 GYB65579 HHX65579 HRT65579 IBP65579 ILL65579 IVH65579 JFD65579 JOZ65579 JYV65579 KIR65579 KSN65579 LCJ65579 LMF65579 LWB65579 MFX65579 MPT65579 MZP65579 NJL65579 NTH65579 ODD65579 OMZ65579 OWV65579 PGR65579 PQN65579 QAJ65579 QKF65579 QUB65579 RDX65579 RNT65579 RXP65579 SHL65579 SRH65579 TBD65579 TKZ65579 TUV65579 UER65579 UON65579 UYJ65579 VIF65579 VSB65579 WBX65579 WLT65579 WVP65579 H131115 JD131115 SZ131115 ACV131115 AMR131115 AWN131115 BGJ131115 BQF131115 CAB131115 CJX131115 CTT131115 DDP131115 DNL131115 DXH131115 EHD131115 EQZ131115 FAV131115 FKR131115 FUN131115 GEJ131115 GOF131115 GYB131115 HHX131115 HRT131115 IBP131115 ILL131115 IVH131115 JFD131115 JOZ131115 JYV131115 KIR131115 KSN131115 LCJ131115 LMF131115 LWB131115 MFX131115 MPT131115 MZP131115 NJL131115 NTH131115 ODD131115 OMZ131115 OWV131115 PGR131115 PQN131115 QAJ131115 QKF131115 QUB131115 RDX131115 RNT131115 RXP131115 SHL131115 SRH131115 TBD131115 TKZ131115 TUV131115 UER131115 UON131115 UYJ131115 VIF131115 VSB131115 WBX131115 WLT131115 WVP131115 H196651 JD196651 SZ196651 ACV196651 AMR196651 AWN196651 BGJ196651 BQF196651 CAB196651 CJX196651 CTT196651 DDP196651 DNL196651 DXH196651 EHD196651 EQZ196651 FAV196651 FKR196651 FUN196651 GEJ196651 GOF196651 GYB196651 HHX196651 HRT196651 IBP196651 ILL196651 IVH196651 JFD196651 JOZ196651 JYV196651 KIR196651 KSN196651 LCJ196651 LMF196651 LWB196651 MFX196651 MPT196651 MZP196651 NJL196651 NTH196651 ODD196651 OMZ196651 OWV196651 PGR196651 PQN196651 QAJ196651 QKF196651 QUB196651 RDX196651 RNT196651 RXP196651 SHL196651 SRH196651 TBD196651 TKZ196651 TUV196651 UER196651 UON196651 UYJ196651 VIF196651 VSB196651 WBX196651 WLT196651 WVP196651 H262187 JD262187 SZ262187 ACV262187 AMR262187 AWN262187 BGJ262187 BQF262187 CAB262187 CJX262187 CTT262187 DDP262187 DNL262187 DXH262187 EHD262187 EQZ262187 FAV262187 FKR262187 FUN262187 GEJ262187 GOF262187 GYB262187 HHX262187 HRT262187 IBP262187 ILL262187 IVH262187 JFD262187 JOZ262187 JYV262187 KIR262187 KSN262187 LCJ262187 LMF262187 LWB262187 MFX262187 MPT262187 MZP262187 NJL262187 NTH262187 ODD262187 OMZ262187 OWV262187 PGR262187 PQN262187 QAJ262187 QKF262187 QUB262187 RDX262187 RNT262187 RXP262187 SHL262187 SRH262187 TBD262187 TKZ262187 TUV262187 UER262187 UON262187 UYJ262187 VIF262187 VSB262187 WBX262187 WLT262187 WVP262187 H327723 JD327723 SZ327723 ACV327723 AMR327723 AWN327723 BGJ327723 BQF327723 CAB327723 CJX327723 CTT327723 DDP327723 DNL327723 DXH327723 EHD327723 EQZ327723 FAV327723 FKR327723 FUN327723 GEJ327723 GOF327723 GYB327723 HHX327723 HRT327723 IBP327723 ILL327723 IVH327723 JFD327723 JOZ327723 JYV327723 KIR327723 KSN327723 LCJ327723 LMF327723 LWB327723 MFX327723 MPT327723 MZP327723 NJL327723 NTH327723 ODD327723 OMZ327723 OWV327723 PGR327723 PQN327723 QAJ327723 QKF327723 QUB327723 RDX327723 RNT327723 RXP327723 SHL327723 SRH327723 TBD327723 TKZ327723 TUV327723 UER327723 UON327723 UYJ327723 VIF327723 VSB327723 WBX327723 WLT327723 WVP327723 H393259 JD393259 SZ393259 ACV393259 AMR393259 AWN393259 BGJ393259 BQF393259 CAB393259 CJX393259 CTT393259 DDP393259 DNL393259 DXH393259 EHD393259 EQZ393259 FAV393259 FKR393259 FUN393259 GEJ393259 GOF393259 GYB393259 HHX393259 HRT393259 IBP393259 ILL393259 IVH393259 JFD393259 JOZ393259 JYV393259 KIR393259 KSN393259 LCJ393259 LMF393259 LWB393259 MFX393259 MPT393259 MZP393259 NJL393259 NTH393259 ODD393259 OMZ393259 OWV393259 PGR393259 PQN393259 QAJ393259 QKF393259 QUB393259 RDX393259 RNT393259 RXP393259 SHL393259 SRH393259 TBD393259 TKZ393259 TUV393259 UER393259 UON393259 UYJ393259 VIF393259 VSB393259 WBX393259 WLT393259 WVP393259 H458795 JD458795 SZ458795 ACV458795 AMR458795 AWN458795 BGJ458795 BQF458795 CAB458795 CJX458795 CTT458795 DDP458795 DNL458795 DXH458795 EHD458795 EQZ458795 FAV458795 FKR458795 FUN458795 GEJ458795 GOF458795 GYB458795 HHX458795 HRT458795 IBP458795 ILL458795 IVH458795 JFD458795 JOZ458795 JYV458795 KIR458795 KSN458795 LCJ458795 LMF458795 LWB458795 MFX458795 MPT458795 MZP458795 NJL458795 NTH458795 ODD458795 OMZ458795 OWV458795 PGR458795 PQN458795 QAJ458795 QKF458795 QUB458795 RDX458795 RNT458795 RXP458795 SHL458795 SRH458795 TBD458795 TKZ458795 TUV458795 UER458795 UON458795 UYJ458795 VIF458795 VSB458795 WBX458795 WLT458795 WVP458795 H524331 JD524331 SZ524331 ACV524331 AMR524331 AWN524331 BGJ524331 BQF524331 CAB524331 CJX524331 CTT524331 DDP524331 DNL524331 DXH524331 EHD524331 EQZ524331 FAV524331 FKR524331 FUN524331 GEJ524331 GOF524331 GYB524331 HHX524331 HRT524331 IBP524331 ILL524331 IVH524331 JFD524331 JOZ524331 JYV524331 KIR524331 KSN524331 LCJ524331 LMF524331 LWB524331 MFX524331 MPT524331 MZP524331 NJL524331 NTH524331 ODD524331 OMZ524331 OWV524331 PGR524331 PQN524331 QAJ524331 QKF524331 QUB524331 RDX524331 RNT524331 RXP524331 SHL524331 SRH524331 TBD524331 TKZ524331 TUV524331 UER524331 UON524331 UYJ524331 VIF524331 VSB524331 WBX524331 WLT524331 WVP524331 H589867 JD589867 SZ589867 ACV589867 AMR589867 AWN589867 BGJ589867 BQF589867 CAB589867 CJX589867 CTT589867 DDP589867 DNL589867 DXH589867 EHD589867 EQZ589867 FAV589867 FKR589867 FUN589867 GEJ589867 GOF589867 GYB589867 HHX589867 HRT589867 IBP589867 ILL589867 IVH589867 JFD589867 JOZ589867 JYV589867 KIR589867 KSN589867 LCJ589867 LMF589867 LWB589867 MFX589867 MPT589867 MZP589867 NJL589867 NTH589867 ODD589867 OMZ589867 OWV589867 PGR589867 PQN589867 QAJ589867 QKF589867 QUB589867 RDX589867 RNT589867 RXP589867 SHL589867 SRH589867 TBD589867 TKZ589867 TUV589867 UER589867 UON589867 UYJ589867 VIF589867 VSB589867 WBX589867 WLT589867 WVP589867 H655403 JD655403 SZ655403 ACV655403 AMR655403 AWN655403 BGJ655403 BQF655403 CAB655403 CJX655403 CTT655403 DDP655403 DNL655403 DXH655403 EHD655403 EQZ655403 FAV655403 FKR655403 FUN655403 GEJ655403 GOF655403 GYB655403 HHX655403 HRT655403 IBP655403 ILL655403 IVH655403 JFD655403 JOZ655403 JYV655403 KIR655403 KSN655403 LCJ655403 LMF655403 LWB655403 MFX655403 MPT655403 MZP655403 NJL655403 NTH655403 ODD655403 OMZ655403 OWV655403 PGR655403 PQN655403 QAJ655403 QKF655403 QUB655403 RDX655403 RNT655403 RXP655403 SHL655403 SRH655403 TBD655403 TKZ655403 TUV655403 UER655403 UON655403 UYJ655403 VIF655403 VSB655403 WBX655403 WLT655403 WVP655403 H720939 JD720939 SZ720939 ACV720939 AMR720939 AWN720939 BGJ720939 BQF720939 CAB720939 CJX720939 CTT720939 DDP720939 DNL720939 DXH720939 EHD720939 EQZ720939 FAV720939 FKR720939 FUN720939 GEJ720939 GOF720939 GYB720939 HHX720939 HRT720939 IBP720939 ILL720939 IVH720939 JFD720939 JOZ720939 JYV720939 KIR720939 KSN720939 LCJ720939 LMF720939 LWB720939 MFX720939 MPT720939 MZP720939 NJL720939 NTH720939 ODD720939 OMZ720939 OWV720939 PGR720939 PQN720939 QAJ720939 QKF720939 QUB720939 RDX720939 RNT720939 RXP720939 SHL720939 SRH720939 TBD720939 TKZ720939 TUV720939 UER720939 UON720939 UYJ720939 VIF720939 VSB720939 WBX720939 WLT720939 WVP720939 H786475 JD786475 SZ786475 ACV786475 AMR786475 AWN786475 BGJ786475 BQF786475 CAB786475 CJX786475 CTT786475 DDP786475 DNL786475 DXH786475 EHD786475 EQZ786475 FAV786475 FKR786475 FUN786475 GEJ786475 GOF786475 GYB786475 HHX786475 HRT786475 IBP786475 ILL786475 IVH786475 JFD786475 JOZ786475 JYV786475 KIR786475 KSN786475 LCJ786475 LMF786475 LWB786475 MFX786475 MPT786475 MZP786475 NJL786475 NTH786475 ODD786475 OMZ786475 OWV786475 PGR786475 PQN786475 QAJ786475 QKF786475 QUB786475 RDX786475 RNT786475 RXP786475 SHL786475 SRH786475 TBD786475 TKZ786475 TUV786475 UER786475 UON786475 UYJ786475 VIF786475 VSB786475 WBX786475 WLT786475 WVP786475 H852011 JD852011 SZ852011 ACV852011 AMR852011 AWN852011 BGJ852011 BQF852011 CAB852011 CJX852011 CTT852011 DDP852011 DNL852011 DXH852011 EHD852011 EQZ852011 FAV852011 FKR852011 FUN852011 GEJ852011 GOF852011 GYB852011 HHX852011 HRT852011 IBP852011 ILL852011 IVH852011 JFD852011 JOZ852011 JYV852011 KIR852011 KSN852011 LCJ852011 LMF852011 LWB852011 MFX852011 MPT852011 MZP852011 NJL852011 NTH852011 ODD852011 OMZ852011 OWV852011 PGR852011 PQN852011 QAJ852011 QKF852011 QUB852011 RDX852011 RNT852011 RXP852011 SHL852011 SRH852011 TBD852011 TKZ852011 TUV852011 UER852011 UON852011 UYJ852011 VIF852011 VSB852011 WBX852011 WLT852011 WVP852011 H917547 JD917547 SZ917547 ACV917547 AMR917547 AWN917547 BGJ917547 BQF917547 CAB917547 CJX917547 CTT917547 DDP917547 DNL917547 DXH917547 EHD917547 EQZ917547 FAV917547 FKR917547 FUN917547 GEJ917547 GOF917547 GYB917547 HHX917547 HRT917547 IBP917547 ILL917547 IVH917547 JFD917547 JOZ917547 JYV917547 KIR917547 KSN917547 LCJ917547 LMF917547 LWB917547 MFX917547 MPT917547 MZP917547 NJL917547 NTH917547 ODD917547 OMZ917547 OWV917547 PGR917547 PQN917547 QAJ917547 QKF917547 QUB917547 RDX917547 RNT917547 RXP917547 SHL917547 SRH917547 TBD917547 TKZ917547 TUV917547 UER917547 UON917547 UYJ917547 VIF917547 VSB917547 WBX917547 WLT917547 WVP917547 H983083 JD983083 SZ983083 ACV983083 AMR983083 AWN983083 BGJ983083 BQF983083 CAB983083 CJX983083 CTT983083 DDP983083 DNL983083 DXH983083 EHD983083 EQZ983083 FAV983083 FKR983083 FUN983083 GEJ983083 GOF983083 GYB983083 HHX983083 HRT983083 IBP983083 ILL983083 IVH983083 JFD983083 JOZ983083 JYV983083 KIR983083 KSN983083 LCJ983083 LMF983083 LWB983083 MFX983083 MPT983083 MZP983083 NJL983083 NTH983083 ODD983083 OMZ983083 OWV983083 PGR983083 PQN983083 QAJ983083 QKF983083 QUB983083 RDX983083 RNT983083 RXP983083 SHL983083 SRH983083 TBD983083 TKZ983083 TUV983083 UER983083 UON983083 UYJ983083 VIF983083 VSB983083 WBX983083 WLT983083 WVP983083" xr:uid="{6FAF65AA-4C06-48F4-981B-13E57C31A62F}">
      <formula1>0</formula1>
      <formula2>0.03</formula2>
    </dataValidation>
    <dataValidation type="decimal" showInputMessage="1" showErrorMessage="1" sqref="H65577 JD65577 SZ65577 ACV65577 AMR65577 AWN65577 BGJ65577 BQF65577 CAB65577 CJX65577 CTT65577 DDP65577 DNL65577 DXH65577 EHD65577 EQZ65577 FAV65577 FKR65577 FUN65577 GEJ65577 GOF65577 GYB65577 HHX65577 HRT65577 IBP65577 ILL65577 IVH65577 JFD65577 JOZ65577 JYV65577 KIR65577 KSN65577 LCJ65577 LMF65577 LWB65577 MFX65577 MPT65577 MZP65577 NJL65577 NTH65577 ODD65577 OMZ65577 OWV65577 PGR65577 PQN65577 QAJ65577 QKF65577 QUB65577 RDX65577 RNT65577 RXP65577 SHL65577 SRH65577 TBD65577 TKZ65577 TUV65577 UER65577 UON65577 UYJ65577 VIF65577 VSB65577 WBX65577 WLT65577 WVP65577 H131113 JD131113 SZ131113 ACV131113 AMR131113 AWN131113 BGJ131113 BQF131113 CAB131113 CJX131113 CTT131113 DDP131113 DNL131113 DXH131113 EHD131113 EQZ131113 FAV131113 FKR131113 FUN131113 GEJ131113 GOF131113 GYB131113 HHX131113 HRT131113 IBP131113 ILL131113 IVH131113 JFD131113 JOZ131113 JYV131113 KIR131113 KSN131113 LCJ131113 LMF131113 LWB131113 MFX131113 MPT131113 MZP131113 NJL131113 NTH131113 ODD131113 OMZ131113 OWV131113 PGR131113 PQN131113 QAJ131113 QKF131113 QUB131113 RDX131113 RNT131113 RXP131113 SHL131113 SRH131113 TBD131113 TKZ131113 TUV131113 UER131113 UON131113 UYJ131113 VIF131113 VSB131113 WBX131113 WLT131113 WVP131113 H196649 JD196649 SZ196649 ACV196649 AMR196649 AWN196649 BGJ196649 BQF196649 CAB196649 CJX196649 CTT196649 DDP196649 DNL196649 DXH196649 EHD196649 EQZ196649 FAV196649 FKR196649 FUN196649 GEJ196649 GOF196649 GYB196649 HHX196649 HRT196649 IBP196649 ILL196649 IVH196649 JFD196649 JOZ196649 JYV196649 KIR196649 KSN196649 LCJ196649 LMF196649 LWB196649 MFX196649 MPT196649 MZP196649 NJL196649 NTH196649 ODD196649 OMZ196649 OWV196649 PGR196649 PQN196649 QAJ196649 QKF196649 QUB196649 RDX196649 RNT196649 RXP196649 SHL196649 SRH196649 TBD196649 TKZ196649 TUV196649 UER196649 UON196649 UYJ196649 VIF196649 VSB196649 WBX196649 WLT196649 WVP196649 H262185 JD262185 SZ262185 ACV262185 AMR262185 AWN262185 BGJ262185 BQF262185 CAB262185 CJX262185 CTT262185 DDP262185 DNL262185 DXH262185 EHD262185 EQZ262185 FAV262185 FKR262185 FUN262185 GEJ262185 GOF262185 GYB262185 HHX262185 HRT262185 IBP262185 ILL262185 IVH262185 JFD262185 JOZ262185 JYV262185 KIR262185 KSN262185 LCJ262185 LMF262185 LWB262185 MFX262185 MPT262185 MZP262185 NJL262185 NTH262185 ODD262185 OMZ262185 OWV262185 PGR262185 PQN262185 QAJ262185 QKF262185 QUB262185 RDX262185 RNT262185 RXP262185 SHL262185 SRH262185 TBD262185 TKZ262185 TUV262185 UER262185 UON262185 UYJ262185 VIF262185 VSB262185 WBX262185 WLT262185 WVP262185 H327721 JD327721 SZ327721 ACV327721 AMR327721 AWN327721 BGJ327721 BQF327721 CAB327721 CJX327721 CTT327721 DDP327721 DNL327721 DXH327721 EHD327721 EQZ327721 FAV327721 FKR327721 FUN327721 GEJ327721 GOF327721 GYB327721 HHX327721 HRT327721 IBP327721 ILL327721 IVH327721 JFD327721 JOZ327721 JYV327721 KIR327721 KSN327721 LCJ327721 LMF327721 LWB327721 MFX327721 MPT327721 MZP327721 NJL327721 NTH327721 ODD327721 OMZ327721 OWV327721 PGR327721 PQN327721 QAJ327721 QKF327721 QUB327721 RDX327721 RNT327721 RXP327721 SHL327721 SRH327721 TBD327721 TKZ327721 TUV327721 UER327721 UON327721 UYJ327721 VIF327721 VSB327721 WBX327721 WLT327721 WVP327721 H393257 JD393257 SZ393257 ACV393257 AMR393257 AWN393257 BGJ393257 BQF393257 CAB393257 CJX393257 CTT393257 DDP393257 DNL393257 DXH393257 EHD393257 EQZ393257 FAV393257 FKR393257 FUN393257 GEJ393257 GOF393257 GYB393257 HHX393257 HRT393257 IBP393257 ILL393257 IVH393257 JFD393257 JOZ393257 JYV393257 KIR393257 KSN393257 LCJ393257 LMF393257 LWB393257 MFX393257 MPT393257 MZP393257 NJL393257 NTH393257 ODD393257 OMZ393257 OWV393257 PGR393257 PQN393257 QAJ393257 QKF393257 QUB393257 RDX393257 RNT393257 RXP393257 SHL393257 SRH393257 TBD393257 TKZ393257 TUV393257 UER393257 UON393257 UYJ393257 VIF393257 VSB393257 WBX393257 WLT393257 WVP393257 H458793 JD458793 SZ458793 ACV458793 AMR458793 AWN458793 BGJ458793 BQF458793 CAB458793 CJX458793 CTT458793 DDP458793 DNL458793 DXH458793 EHD458793 EQZ458793 FAV458793 FKR458793 FUN458793 GEJ458793 GOF458793 GYB458793 HHX458793 HRT458793 IBP458793 ILL458793 IVH458793 JFD458793 JOZ458793 JYV458793 KIR458793 KSN458793 LCJ458793 LMF458793 LWB458793 MFX458793 MPT458793 MZP458793 NJL458793 NTH458793 ODD458793 OMZ458793 OWV458793 PGR458793 PQN458793 QAJ458793 QKF458793 QUB458793 RDX458793 RNT458793 RXP458793 SHL458793 SRH458793 TBD458793 TKZ458793 TUV458793 UER458793 UON458793 UYJ458793 VIF458793 VSB458793 WBX458793 WLT458793 WVP458793 H524329 JD524329 SZ524329 ACV524329 AMR524329 AWN524329 BGJ524329 BQF524329 CAB524329 CJX524329 CTT524329 DDP524329 DNL524329 DXH524329 EHD524329 EQZ524329 FAV524329 FKR524329 FUN524329 GEJ524329 GOF524329 GYB524329 HHX524329 HRT524329 IBP524329 ILL524329 IVH524329 JFD524329 JOZ524329 JYV524329 KIR524329 KSN524329 LCJ524329 LMF524329 LWB524329 MFX524329 MPT524329 MZP524329 NJL524329 NTH524329 ODD524329 OMZ524329 OWV524329 PGR524329 PQN524329 QAJ524329 QKF524329 QUB524329 RDX524329 RNT524329 RXP524329 SHL524329 SRH524329 TBD524329 TKZ524329 TUV524329 UER524329 UON524329 UYJ524329 VIF524329 VSB524329 WBX524329 WLT524329 WVP524329 H589865 JD589865 SZ589865 ACV589865 AMR589865 AWN589865 BGJ589865 BQF589865 CAB589865 CJX589865 CTT589865 DDP589865 DNL589865 DXH589865 EHD589865 EQZ589865 FAV589865 FKR589865 FUN589865 GEJ589865 GOF589865 GYB589865 HHX589865 HRT589865 IBP589865 ILL589865 IVH589865 JFD589865 JOZ589865 JYV589865 KIR589865 KSN589865 LCJ589865 LMF589865 LWB589865 MFX589865 MPT589865 MZP589865 NJL589865 NTH589865 ODD589865 OMZ589865 OWV589865 PGR589865 PQN589865 QAJ589865 QKF589865 QUB589865 RDX589865 RNT589865 RXP589865 SHL589865 SRH589865 TBD589865 TKZ589865 TUV589865 UER589865 UON589865 UYJ589865 VIF589865 VSB589865 WBX589865 WLT589865 WVP589865 H655401 JD655401 SZ655401 ACV655401 AMR655401 AWN655401 BGJ655401 BQF655401 CAB655401 CJX655401 CTT655401 DDP655401 DNL655401 DXH655401 EHD655401 EQZ655401 FAV655401 FKR655401 FUN655401 GEJ655401 GOF655401 GYB655401 HHX655401 HRT655401 IBP655401 ILL655401 IVH655401 JFD655401 JOZ655401 JYV655401 KIR655401 KSN655401 LCJ655401 LMF655401 LWB655401 MFX655401 MPT655401 MZP655401 NJL655401 NTH655401 ODD655401 OMZ655401 OWV655401 PGR655401 PQN655401 QAJ655401 QKF655401 QUB655401 RDX655401 RNT655401 RXP655401 SHL655401 SRH655401 TBD655401 TKZ655401 TUV655401 UER655401 UON655401 UYJ655401 VIF655401 VSB655401 WBX655401 WLT655401 WVP655401 H720937 JD720937 SZ720937 ACV720937 AMR720937 AWN720937 BGJ720937 BQF720937 CAB720937 CJX720937 CTT720937 DDP720937 DNL720937 DXH720937 EHD720937 EQZ720937 FAV720937 FKR720937 FUN720937 GEJ720937 GOF720937 GYB720937 HHX720937 HRT720937 IBP720937 ILL720937 IVH720937 JFD720937 JOZ720937 JYV720937 KIR720937 KSN720937 LCJ720937 LMF720937 LWB720937 MFX720937 MPT720937 MZP720937 NJL720937 NTH720937 ODD720937 OMZ720937 OWV720937 PGR720937 PQN720937 QAJ720937 QKF720937 QUB720937 RDX720937 RNT720937 RXP720937 SHL720937 SRH720937 TBD720937 TKZ720937 TUV720937 UER720937 UON720937 UYJ720937 VIF720937 VSB720937 WBX720937 WLT720937 WVP720937 H786473 JD786473 SZ786473 ACV786473 AMR786473 AWN786473 BGJ786473 BQF786473 CAB786473 CJX786473 CTT786473 DDP786473 DNL786473 DXH786473 EHD786473 EQZ786473 FAV786473 FKR786473 FUN786473 GEJ786473 GOF786473 GYB786473 HHX786473 HRT786473 IBP786473 ILL786473 IVH786473 JFD786473 JOZ786473 JYV786473 KIR786473 KSN786473 LCJ786473 LMF786473 LWB786473 MFX786473 MPT786473 MZP786473 NJL786473 NTH786473 ODD786473 OMZ786473 OWV786473 PGR786473 PQN786473 QAJ786473 QKF786473 QUB786473 RDX786473 RNT786473 RXP786473 SHL786473 SRH786473 TBD786473 TKZ786473 TUV786473 UER786473 UON786473 UYJ786473 VIF786473 VSB786473 WBX786473 WLT786473 WVP786473 H852009 JD852009 SZ852009 ACV852009 AMR852009 AWN852009 BGJ852009 BQF852009 CAB852009 CJX852009 CTT852009 DDP852009 DNL852009 DXH852009 EHD852009 EQZ852009 FAV852009 FKR852009 FUN852009 GEJ852009 GOF852009 GYB852009 HHX852009 HRT852009 IBP852009 ILL852009 IVH852009 JFD852009 JOZ852009 JYV852009 KIR852009 KSN852009 LCJ852009 LMF852009 LWB852009 MFX852009 MPT852009 MZP852009 NJL852009 NTH852009 ODD852009 OMZ852009 OWV852009 PGR852009 PQN852009 QAJ852009 QKF852009 QUB852009 RDX852009 RNT852009 RXP852009 SHL852009 SRH852009 TBD852009 TKZ852009 TUV852009 UER852009 UON852009 UYJ852009 VIF852009 VSB852009 WBX852009 WLT852009 WVP852009 H917545 JD917545 SZ917545 ACV917545 AMR917545 AWN917545 BGJ917545 BQF917545 CAB917545 CJX917545 CTT917545 DDP917545 DNL917545 DXH917545 EHD917545 EQZ917545 FAV917545 FKR917545 FUN917545 GEJ917545 GOF917545 GYB917545 HHX917545 HRT917545 IBP917545 ILL917545 IVH917545 JFD917545 JOZ917545 JYV917545 KIR917545 KSN917545 LCJ917545 LMF917545 LWB917545 MFX917545 MPT917545 MZP917545 NJL917545 NTH917545 ODD917545 OMZ917545 OWV917545 PGR917545 PQN917545 QAJ917545 QKF917545 QUB917545 RDX917545 RNT917545 RXP917545 SHL917545 SRH917545 TBD917545 TKZ917545 TUV917545 UER917545 UON917545 UYJ917545 VIF917545 VSB917545 WBX917545 WLT917545 WVP917545 H983081 JD983081 SZ983081 ACV983081 AMR983081 AWN983081 BGJ983081 BQF983081 CAB983081 CJX983081 CTT983081 DDP983081 DNL983081 DXH983081 EHD983081 EQZ983081 FAV983081 FKR983081 FUN983081 GEJ983081 GOF983081 GYB983081 HHX983081 HRT983081 IBP983081 ILL983081 IVH983081 JFD983081 JOZ983081 JYV983081 KIR983081 KSN983081 LCJ983081 LMF983081 LWB983081 MFX983081 MPT983081 MZP983081 NJL983081 NTH983081 ODD983081 OMZ983081 OWV983081 PGR983081 PQN983081 QAJ983081 QKF983081 QUB983081 RDX983081 RNT983081 RXP983081 SHL983081 SRH983081 TBD983081 TKZ983081 TUV983081 UER983081 UON983081 UYJ983081 VIF983081 VSB983081 WBX983081 WLT983081 WVP983081" xr:uid="{DE7F43FF-3DDF-4F85-B7D5-E274795687CC}">
      <formula1>-0.25</formula1>
      <formula2>0.3</formula2>
    </dataValidation>
    <dataValidation type="list" allowBlank="1" showInputMessage="1" showErrorMessage="1" sqref="WLS983083 JC18:JC21 SY18:SY21 ACU18:ACU21 AMQ18:AMQ21 AWM18:AWM21 BGI18:BGI21 BQE18:BQE21 CAA18:CAA21 CJW18:CJW21 CTS18:CTS21 DDO18:DDO21 DNK18:DNK21 DXG18:DXG21 EHC18:EHC21 EQY18:EQY21 FAU18:FAU21 FKQ18:FKQ21 FUM18:FUM21 GEI18:GEI21 GOE18:GOE21 GYA18:GYA21 HHW18:HHW21 HRS18:HRS21 IBO18:IBO21 ILK18:ILK21 IVG18:IVG21 JFC18:JFC21 JOY18:JOY21 JYU18:JYU21 KIQ18:KIQ21 KSM18:KSM21 LCI18:LCI21 LME18:LME21 LWA18:LWA21 MFW18:MFW21 MPS18:MPS21 MZO18:MZO21 NJK18:NJK21 NTG18:NTG21 ODC18:ODC21 OMY18:OMY21 OWU18:OWU21 PGQ18:PGQ21 PQM18:PQM21 QAI18:QAI21 QKE18:QKE21 QUA18:QUA21 RDW18:RDW21 RNS18:RNS21 RXO18:RXO21 SHK18:SHK21 SRG18:SRG21 TBC18:TBC21 TKY18:TKY21 TUU18:TUU21 UEQ18:UEQ21 UOM18:UOM21 UYI18:UYI21 VIE18:VIE21 VSA18:VSA21 WBW18:WBW21 WLS18:WLS21 WVO18:WVO21 G65538:G65541 JC65538:JC65541 SY65538:SY65541 ACU65538:ACU65541 AMQ65538:AMQ65541 AWM65538:AWM65541 BGI65538:BGI65541 BQE65538:BQE65541 CAA65538:CAA65541 CJW65538:CJW65541 CTS65538:CTS65541 DDO65538:DDO65541 DNK65538:DNK65541 DXG65538:DXG65541 EHC65538:EHC65541 EQY65538:EQY65541 FAU65538:FAU65541 FKQ65538:FKQ65541 FUM65538:FUM65541 GEI65538:GEI65541 GOE65538:GOE65541 GYA65538:GYA65541 HHW65538:HHW65541 HRS65538:HRS65541 IBO65538:IBO65541 ILK65538:ILK65541 IVG65538:IVG65541 JFC65538:JFC65541 JOY65538:JOY65541 JYU65538:JYU65541 KIQ65538:KIQ65541 KSM65538:KSM65541 LCI65538:LCI65541 LME65538:LME65541 LWA65538:LWA65541 MFW65538:MFW65541 MPS65538:MPS65541 MZO65538:MZO65541 NJK65538:NJK65541 NTG65538:NTG65541 ODC65538:ODC65541 OMY65538:OMY65541 OWU65538:OWU65541 PGQ65538:PGQ65541 PQM65538:PQM65541 QAI65538:QAI65541 QKE65538:QKE65541 QUA65538:QUA65541 RDW65538:RDW65541 RNS65538:RNS65541 RXO65538:RXO65541 SHK65538:SHK65541 SRG65538:SRG65541 TBC65538:TBC65541 TKY65538:TKY65541 TUU65538:TUU65541 UEQ65538:UEQ65541 UOM65538:UOM65541 UYI65538:UYI65541 VIE65538:VIE65541 VSA65538:VSA65541 WBW65538:WBW65541 WLS65538:WLS65541 WVO65538:WVO65541 G131074:G131077 JC131074:JC131077 SY131074:SY131077 ACU131074:ACU131077 AMQ131074:AMQ131077 AWM131074:AWM131077 BGI131074:BGI131077 BQE131074:BQE131077 CAA131074:CAA131077 CJW131074:CJW131077 CTS131074:CTS131077 DDO131074:DDO131077 DNK131074:DNK131077 DXG131074:DXG131077 EHC131074:EHC131077 EQY131074:EQY131077 FAU131074:FAU131077 FKQ131074:FKQ131077 FUM131074:FUM131077 GEI131074:GEI131077 GOE131074:GOE131077 GYA131074:GYA131077 HHW131074:HHW131077 HRS131074:HRS131077 IBO131074:IBO131077 ILK131074:ILK131077 IVG131074:IVG131077 JFC131074:JFC131077 JOY131074:JOY131077 JYU131074:JYU131077 KIQ131074:KIQ131077 KSM131074:KSM131077 LCI131074:LCI131077 LME131074:LME131077 LWA131074:LWA131077 MFW131074:MFW131077 MPS131074:MPS131077 MZO131074:MZO131077 NJK131074:NJK131077 NTG131074:NTG131077 ODC131074:ODC131077 OMY131074:OMY131077 OWU131074:OWU131077 PGQ131074:PGQ131077 PQM131074:PQM131077 QAI131074:QAI131077 QKE131074:QKE131077 QUA131074:QUA131077 RDW131074:RDW131077 RNS131074:RNS131077 RXO131074:RXO131077 SHK131074:SHK131077 SRG131074:SRG131077 TBC131074:TBC131077 TKY131074:TKY131077 TUU131074:TUU131077 UEQ131074:UEQ131077 UOM131074:UOM131077 UYI131074:UYI131077 VIE131074:VIE131077 VSA131074:VSA131077 WBW131074:WBW131077 WLS131074:WLS131077 WVO131074:WVO131077 G196610:G196613 JC196610:JC196613 SY196610:SY196613 ACU196610:ACU196613 AMQ196610:AMQ196613 AWM196610:AWM196613 BGI196610:BGI196613 BQE196610:BQE196613 CAA196610:CAA196613 CJW196610:CJW196613 CTS196610:CTS196613 DDO196610:DDO196613 DNK196610:DNK196613 DXG196610:DXG196613 EHC196610:EHC196613 EQY196610:EQY196613 FAU196610:FAU196613 FKQ196610:FKQ196613 FUM196610:FUM196613 GEI196610:GEI196613 GOE196610:GOE196613 GYA196610:GYA196613 HHW196610:HHW196613 HRS196610:HRS196613 IBO196610:IBO196613 ILK196610:ILK196613 IVG196610:IVG196613 JFC196610:JFC196613 JOY196610:JOY196613 JYU196610:JYU196613 KIQ196610:KIQ196613 KSM196610:KSM196613 LCI196610:LCI196613 LME196610:LME196613 LWA196610:LWA196613 MFW196610:MFW196613 MPS196610:MPS196613 MZO196610:MZO196613 NJK196610:NJK196613 NTG196610:NTG196613 ODC196610:ODC196613 OMY196610:OMY196613 OWU196610:OWU196613 PGQ196610:PGQ196613 PQM196610:PQM196613 QAI196610:QAI196613 QKE196610:QKE196613 QUA196610:QUA196613 RDW196610:RDW196613 RNS196610:RNS196613 RXO196610:RXO196613 SHK196610:SHK196613 SRG196610:SRG196613 TBC196610:TBC196613 TKY196610:TKY196613 TUU196610:TUU196613 UEQ196610:UEQ196613 UOM196610:UOM196613 UYI196610:UYI196613 VIE196610:VIE196613 VSA196610:VSA196613 WBW196610:WBW196613 WLS196610:WLS196613 WVO196610:WVO196613 G262146:G262149 JC262146:JC262149 SY262146:SY262149 ACU262146:ACU262149 AMQ262146:AMQ262149 AWM262146:AWM262149 BGI262146:BGI262149 BQE262146:BQE262149 CAA262146:CAA262149 CJW262146:CJW262149 CTS262146:CTS262149 DDO262146:DDO262149 DNK262146:DNK262149 DXG262146:DXG262149 EHC262146:EHC262149 EQY262146:EQY262149 FAU262146:FAU262149 FKQ262146:FKQ262149 FUM262146:FUM262149 GEI262146:GEI262149 GOE262146:GOE262149 GYA262146:GYA262149 HHW262146:HHW262149 HRS262146:HRS262149 IBO262146:IBO262149 ILK262146:ILK262149 IVG262146:IVG262149 JFC262146:JFC262149 JOY262146:JOY262149 JYU262146:JYU262149 KIQ262146:KIQ262149 KSM262146:KSM262149 LCI262146:LCI262149 LME262146:LME262149 LWA262146:LWA262149 MFW262146:MFW262149 MPS262146:MPS262149 MZO262146:MZO262149 NJK262146:NJK262149 NTG262146:NTG262149 ODC262146:ODC262149 OMY262146:OMY262149 OWU262146:OWU262149 PGQ262146:PGQ262149 PQM262146:PQM262149 QAI262146:QAI262149 QKE262146:QKE262149 QUA262146:QUA262149 RDW262146:RDW262149 RNS262146:RNS262149 RXO262146:RXO262149 SHK262146:SHK262149 SRG262146:SRG262149 TBC262146:TBC262149 TKY262146:TKY262149 TUU262146:TUU262149 UEQ262146:UEQ262149 UOM262146:UOM262149 UYI262146:UYI262149 VIE262146:VIE262149 VSA262146:VSA262149 WBW262146:WBW262149 WLS262146:WLS262149 WVO262146:WVO262149 G327682:G327685 JC327682:JC327685 SY327682:SY327685 ACU327682:ACU327685 AMQ327682:AMQ327685 AWM327682:AWM327685 BGI327682:BGI327685 BQE327682:BQE327685 CAA327682:CAA327685 CJW327682:CJW327685 CTS327682:CTS327685 DDO327682:DDO327685 DNK327682:DNK327685 DXG327682:DXG327685 EHC327682:EHC327685 EQY327682:EQY327685 FAU327682:FAU327685 FKQ327682:FKQ327685 FUM327682:FUM327685 GEI327682:GEI327685 GOE327682:GOE327685 GYA327682:GYA327685 HHW327682:HHW327685 HRS327682:HRS327685 IBO327682:IBO327685 ILK327682:ILK327685 IVG327682:IVG327685 JFC327682:JFC327685 JOY327682:JOY327685 JYU327682:JYU327685 KIQ327682:KIQ327685 KSM327682:KSM327685 LCI327682:LCI327685 LME327682:LME327685 LWA327682:LWA327685 MFW327682:MFW327685 MPS327682:MPS327685 MZO327682:MZO327685 NJK327682:NJK327685 NTG327682:NTG327685 ODC327682:ODC327685 OMY327682:OMY327685 OWU327682:OWU327685 PGQ327682:PGQ327685 PQM327682:PQM327685 QAI327682:QAI327685 QKE327682:QKE327685 QUA327682:QUA327685 RDW327682:RDW327685 RNS327682:RNS327685 RXO327682:RXO327685 SHK327682:SHK327685 SRG327682:SRG327685 TBC327682:TBC327685 TKY327682:TKY327685 TUU327682:TUU327685 UEQ327682:UEQ327685 UOM327682:UOM327685 UYI327682:UYI327685 VIE327682:VIE327685 VSA327682:VSA327685 WBW327682:WBW327685 WLS327682:WLS327685 WVO327682:WVO327685 G393218:G393221 JC393218:JC393221 SY393218:SY393221 ACU393218:ACU393221 AMQ393218:AMQ393221 AWM393218:AWM393221 BGI393218:BGI393221 BQE393218:BQE393221 CAA393218:CAA393221 CJW393218:CJW393221 CTS393218:CTS393221 DDO393218:DDO393221 DNK393218:DNK393221 DXG393218:DXG393221 EHC393218:EHC393221 EQY393218:EQY393221 FAU393218:FAU393221 FKQ393218:FKQ393221 FUM393218:FUM393221 GEI393218:GEI393221 GOE393218:GOE393221 GYA393218:GYA393221 HHW393218:HHW393221 HRS393218:HRS393221 IBO393218:IBO393221 ILK393218:ILK393221 IVG393218:IVG393221 JFC393218:JFC393221 JOY393218:JOY393221 JYU393218:JYU393221 KIQ393218:KIQ393221 KSM393218:KSM393221 LCI393218:LCI393221 LME393218:LME393221 LWA393218:LWA393221 MFW393218:MFW393221 MPS393218:MPS393221 MZO393218:MZO393221 NJK393218:NJK393221 NTG393218:NTG393221 ODC393218:ODC393221 OMY393218:OMY393221 OWU393218:OWU393221 PGQ393218:PGQ393221 PQM393218:PQM393221 QAI393218:QAI393221 QKE393218:QKE393221 QUA393218:QUA393221 RDW393218:RDW393221 RNS393218:RNS393221 RXO393218:RXO393221 SHK393218:SHK393221 SRG393218:SRG393221 TBC393218:TBC393221 TKY393218:TKY393221 TUU393218:TUU393221 UEQ393218:UEQ393221 UOM393218:UOM393221 UYI393218:UYI393221 VIE393218:VIE393221 VSA393218:VSA393221 WBW393218:WBW393221 WLS393218:WLS393221 WVO393218:WVO393221 G458754:G458757 JC458754:JC458757 SY458754:SY458757 ACU458754:ACU458757 AMQ458754:AMQ458757 AWM458754:AWM458757 BGI458754:BGI458757 BQE458754:BQE458757 CAA458754:CAA458757 CJW458754:CJW458757 CTS458754:CTS458757 DDO458754:DDO458757 DNK458754:DNK458757 DXG458754:DXG458757 EHC458754:EHC458757 EQY458754:EQY458757 FAU458754:FAU458757 FKQ458754:FKQ458757 FUM458754:FUM458757 GEI458754:GEI458757 GOE458754:GOE458757 GYA458754:GYA458757 HHW458754:HHW458757 HRS458754:HRS458757 IBO458754:IBO458757 ILK458754:ILK458757 IVG458754:IVG458757 JFC458754:JFC458757 JOY458754:JOY458757 JYU458754:JYU458757 KIQ458754:KIQ458757 KSM458754:KSM458757 LCI458754:LCI458757 LME458754:LME458757 LWA458754:LWA458757 MFW458754:MFW458757 MPS458754:MPS458757 MZO458754:MZO458757 NJK458754:NJK458757 NTG458754:NTG458757 ODC458754:ODC458757 OMY458754:OMY458757 OWU458754:OWU458757 PGQ458754:PGQ458757 PQM458754:PQM458757 QAI458754:QAI458757 QKE458754:QKE458757 QUA458754:QUA458757 RDW458754:RDW458757 RNS458754:RNS458757 RXO458754:RXO458757 SHK458754:SHK458757 SRG458754:SRG458757 TBC458754:TBC458757 TKY458754:TKY458757 TUU458754:TUU458757 UEQ458754:UEQ458757 UOM458754:UOM458757 UYI458754:UYI458757 VIE458754:VIE458757 VSA458754:VSA458757 WBW458754:WBW458757 WLS458754:WLS458757 WVO458754:WVO458757 G524290:G524293 JC524290:JC524293 SY524290:SY524293 ACU524290:ACU524293 AMQ524290:AMQ524293 AWM524290:AWM524293 BGI524290:BGI524293 BQE524290:BQE524293 CAA524290:CAA524293 CJW524290:CJW524293 CTS524290:CTS524293 DDO524290:DDO524293 DNK524290:DNK524293 DXG524290:DXG524293 EHC524290:EHC524293 EQY524290:EQY524293 FAU524290:FAU524293 FKQ524290:FKQ524293 FUM524290:FUM524293 GEI524290:GEI524293 GOE524290:GOE524293 GYA524290:GYA524293 HHW524290:HHW524293 HRS524290:HRS524293 IBO524290:IBO524293 ILK524290:ILK524293 IVG524290:IVG524293 JFC524290:JFC524293 JOY524290:JOY524293 JYU524290:JYU524293 KIQ524290:KIQ524293 KSM524290:KSM524293 LCI524290:LCI524293 LME524290:LME524293 LWA524290:LWA524293 MFW524290:MFW524293 MPS524290:MPS524293 MZO524290:MZO524293 NJK524290:NJK524293 NTG524290:NTG524293 ODC524290:ODC524293 OMY524290:OMY524293 OWU524290:OWU524293 PGQ524290:PGQ524293 PQM524290:PQM524293 QAI524290:QAI524293 QKE524290:QKE524293 QUA524290:QUA524293 RDW524290:RDW524293 RNS524290:RNS524293 RXO524290:RXO524293 SHK524290:SHK524293 SRG524290:SRG524293 TBC524290:TBC524293 TKY524290:TKY524293 TUU524290:TUU524293 UEQ524290:UEQ524293 UOM524290:UOM524293 UYI524290:UYI524293 VIE524290:VIE524293 VSA524290:VSA524293 WBW524290:WBW524293 WLS524290:WLS524293 WVO524290:WVO524293 G589826:G589829 JC589826:JC589829 SY589826:SY589829 ACU589826:ACU589829 AMQ589826:AMQ589829 AWM589826:AWM589829 BGI589826:BGI589829 BQE589826:BQE589829 CAA589826:CAA589829 CJW589826:CJW589829 CTS589826:CTS589829 DDO589826:DDO589829 DNK589826:DNK589829 DXG589826:DXG589829 EHC589826:EHC589829 EQY589826:EQY589829 FAU589826:FAU589829 FKQ589826:FKQ589829 FUM589826:FUM589829 GEI589826:GEI589829 GOE589826:GOE589829 GYA589826:GYA589829 HHW589826:HHW589829 HRS589826:HRS589829 IBO589826:IBO589829 ILK589826:ILK589829 IVG589826:IVG589829 JFC589826:JFC589829 JOY589826:JOY589829 JYU589826:JYU589829 KIQ589826:KIQ589829 KSM589826:KSM589829 LCI589826:LCI589829 LME589826:LME589829 LWA589826:LWA589829 MFW589826:MFW589829 MPS589826:MPS589829 MZO589826:MZO589829 NJK589826:NJK589829 NTG589826:NTG589829 ODC589826:ODC589829 OMY589826:OMY589829 OWU589826:OWU589829 PGQ589826:PGQ589829 PQM589826:PQM589829 QAI589826:QAI589829 QKE589826:QKE589829 QUA589826:QUA589829 RDW589826:RDW589829 RNS589826:RNS589829 RXO589826:RXO589829 SHK589826:SHK589829 SRG589826:SRG589829 TBC589826:TBC589829 TKY589826:TKY589829 TUU589826:TUU589829 UEQ589826:UEQ589829 UOM589826:UOM589829 UYI589826:UYI589829 VIE589826:VIE589829 VSA589826:VSA589829 WBW589826:WBW589829 WLS589826:WLS589829 WVO589826:WVO589829 G655362:G655365 JC655362:JC655365 SY655362:SY655365 ACU655362:ACU655365 AMQ655362:AMQ655365 AWM655362:AWM655365 BGI655362:BGI655365 BQE655362:BQE655365 CAA655362:CAA655365 CJW655362:CJW655365 CTS655362:CTS655365 DDO655362:DDO655365 DNK655362:DNK655365 DXG655362:DXG655365 EHC655362:EHC655365 EQY655362:EQY655365 FAU655362:FAU655365 FKQ655362:FKQ655365 FUM655362:FUM655365 GEI655362:GEI655365 GOE655362:GOE655365 GYA655362:GYA655365 HHW655362:HHW655365 HRS655362:HRS655365 IBO655362:IBO655365 ILK655362:ILK655365 IVG655362:IVG655365 JFC655362:JFC655365 JOY655362:JOY655365 JYU655362:JYU655365 KIQ655362:KIQ655365 KSM655362:KSM655365 LCI655362:LCI655365 LME655362:LME655365 LWA655362:LWA655365 MFW655362:MFW655365 MPS655362:MPS655365 MZO655362:MZO655365 NJK655362:NJK655365 NTG655362:NTG655365 ODC655362:ODC655365 OMY655362:OMY655365 OWU655362:OWU655365 PGQ655362:PGQ655365 PQM655362:PQM655365 QAI655362:QAI655365 QKE655362:QKE655365 QUA655362:QUA655365 RDW655362:RDW655365 RNS655362:RNS655365 RXO655362:RXO655365 SHK655362:SHK655365 SRG655362:SRG655365 TBC655362:TBC655365 TKY655362:TKY655365 TUU655362:TUU655365 UEQ655362:UEQ655365 UOM655362:UOM655365 UYI655362:UYI655365 VIE655362:VIE655365 VSA655362:VSA655365 WBW655362:WBW655365 WLS655362:WLS655365 WVO655362:WVO655365 G720898:G720901 JC720898:JC720901 SY720898:SY720901 ACU720898:ACU720901 AMQ720898:AMQ720901 AWM720898:AWM720901 BGI720898:BGI720901 BQE720898:BQE720901 CAA720898:CAA720901 CJW720898:CJW720901 CTS720898:CTS720901 DDO720898:DDO720901 DNK720898:DNK720901 DXG720898:DXG720901 EHC720898:EHC720901 EQY720898:EQY720901 FAU720898:FAU720901 FKQ720898:FKQ720901 FUM720898:FUM720901 GEI720898:GEI720901 GOE720898:GOE720901 GYA720898:GYA720901 HHW720898:HHW720901 HRS720898:HRS720901 IBO720898:IBO720901 ILK720898:ILK720901 IVG720898:IVG720901 JFC720898:JFC720901 JOY720898:JOY720901 JYU720898:JYU720901 KIQ720898:KIQ720901 KSM720898:KSM720901 LCI720898:LCI720901 LME720898:LME720901 LWA720898:LWA720901 MFW720898:MFW720901 MPS720898:MPS720901 MZO720898:MZO720901 NJK720898:NJK720901 NTG720898:NTG720901 ODC720898:ODC720901 OMY720898:OMY720901 OWU720898:OWU720901 PGQ720898:PGQ720901 PQM720898:PQM720901 QAI720898:QAI720901 QKE720898:QKE720901 QUA720898:QUA720901 RDW720898:RDW720901 RNS720898:RNS720901 RXO720898:RXO720901 SHK720898:SHK720901 SRG720898:SRG720901 TBC720898:TBC720901 TKY720898:TKY720901 TUU720898:TUU720901 UEQ720898:UEQ720901 UOM720898:UOM720901 UYI720898:UYI720901 VIE720898:VIE720901 VSA720898:VSA720901 WBW720898:WBW720901 WLS720898:WLS720901 WVO720898:WVO720901 G786434:G786437 JC786434:JC786437 SY786434:SY786437 ACU786434:ACU786437 AMQ786434:AMQ786437 AWM786434:AWM786437 BGI786434:BGI786437 BQE786434:BQE786437 CAA786434:CAA786437 CJW786434:CJW786437 CTS786434:CTS786437 DDO786434:DDO786437 DNK786434:DNK786437 DXG786434:DXG786437 EHC786434:EHC786437 EQY786434:EQY786437 FAU786434:FAU786437 FKQ786434:FKQ786437 FUM786434:FUM786437 GEI786434:GEI786437 GOE786434:GOE786437 GYA786434:GYA786437 HHW786434:HHW786437 HRS786434:HRS786437 IBO786434:IBO786437 ILK786434:ILK786437 IVG786434:IVG786437 JFC786434:JFC786437 JOY786434:JOY786437 JYU786434:JYU786437 KIQ786434:KIQ786437 KSM786434:KSM786437 LCI786434:LCI786437 LME786434:LME786437 LWA786434:LWA786437 MFW786434:MFW786437 MPS786434:MPS786437 MZO786434:MZO786437 NJK786434:NJK786437 NTG786434:NTG786437 ODC786434:ODC786437 OMY786434:OMY786437 OWU786434:OWU786437 PGQ786434:PGQ786437 PQM786434:PQM786437 QAI786434:QAI786437 QKE786434:QKE786437 QUA786434:QUA786437 RDW786434:RDW786437 RNS786434:RNS786437 RXO786434:RXO786437 SHK786434:SHK786437 SRG786434:SRG786437 TBC786434:TBC786437 TKY786434:TKY786437 TUU786434:TUU786437 UEQ786434:UEQ786437 UOM786434:UOM786437 UYI786434:UYI786437 VIE786434:VIE786437 VSA786434:VSA786437 WBW786434:WBW786437 WLS786434:WLS786437 WVO786434:WVO786437 G851970:G851973 JC851970:JC851973 SY851970:SY851973 ACU851970:ACU851973 AMQ851970:AMQ851973 AWM851970:AWM851973 BGI851970:BGI851973 BQE851970:BQE851973 CAA851970:CAA851973 CJW851970:CJW851973 CTS851970:CTS851973 DDO851970:DDO851973 DNK851970:DNK851973 DXG851970:DXG851973 EHC851970:EHC851973 EQY851970:EQY851973 FAU851970:FAU851973 FKQ851970:FKQ851973 FUM851970:FUM851973 GEI851970:GEI851973 GOE851970:GOE851973 GYA851970:GYA851973 HHW851970:HHW851973 HRS851970:HRS851973 IBO851970:IBO851973 ILK851970:ILK851973 IVG851970:IVG851973 JFC851970:JFC851973 JOY851970:JOY851973 JYU851970:JYU851973 KIQ851970:KIQ851973 KSM851970:KSM851973 LCI851970:LCI851973 LME851970:LME851973 LWA851970:LWA851973 MFW851970:MFW851973 MPS851970:MPS851973 MZO851970:MZO851973 NJK851970:NJK851973 NTG851970:NTG851973 ODC851970:ODC851973 OMY851970:OMY851973 OWU851970:OWU851973 PGQ851970:PGQ851973 PQM851970:PQM851973 QAI851970:QAI851973 QKE851970:QKE851973 QUA851970:QUA851973 RDW851970:RDW851973 RNS851970:RNS851973 RXO851970:RXO851973 SHK851970:SHK851973 SRG851970:SRG851973 TBC851970:TBC851973 TKY851970:TKY851973 TUU851970:TUU851973 UEQ851970:UEQ851973 UOM851970:UOM851973 UYI851970:UYI851973 VIE851970:VIE851973 VSA851970:VSA851973 WBW851970:WBW851973 WLS851970:WLS851973 WVO851970:WVO851973 G917506:G917509 JC917506:JC917509 SY917506:SY917509 ACU917506:ACU917509 AMQ917506:AMQ917509 AWM917506:AWM917509 BGI917506:BGI917509 BQE917506:BQE917509 CAA917506:CAA917509 CJW917506:CJW917509 CTS917506:CTS917509 DDO917506:DDO917509 DNK917506:DNK917509 DXG917506:DXG917509 EHC917506:EHC917509 EQY917506:EQY917509 FAU917506:FAU917509 FKQ917506:FKQ917509 FUM917506:FUM917509 GEI917506:GEI917509 GOE917506:GOE917509 GYA917506:GYA917509 HHW917506:HHW917509 HRS917506:HRS917509 IBO917506:IBO917509 ILK917506:ILK917509 IVG917506:IVG917509 JFC917506:JFC917509 JOY917506:JOY917509 JYU917506:JYU917509 KIQ917506:KIQ917509 KSM917506:KSM917509 LCI917506:LCI917509 LME917506:LME917509 LWA917506:LWA917509 MFW917506:MFW917509 MPS917506:MPS917509 MZO917506:MZO917509 NJK917506:NJK917509 NTG917506:NTG917509 ODC917506:ODC917509 OMY917506:OMY917509 OWU917506:OWU917509 PGQ917506:PGQ917509 PQM917506:PQM917509 QAI917506:QAI917509 QKE917506:QKE917509 QUA917506:QUA917509 RDW917506:RDW917509 RNS917506:RNS917509 RXO917506:RXO917509 SHK917506:SHK917509 SRG917506:SRG917509 TBC917506:TBC917509 TKY917506:TKY917509 TUU917506:TUU917509 UEQ917506:UEQ917509 UOM917506:UOM917509 UYI917506:UYI917509 VIE917506:VIE917509 VSA917506:VSA917509 WBW917506:WBW917509 WLS917506:WLS917509 WVO917506:WVO917509 G983042:G983045 JC983042:JC983045 SY983042:SY983045 ACU983042:ACU983045 AMQ983042:AMQ983045 AWM983042:AWM983045 BGI983042:BGI983045 BQE983042:BQE983045 CAA983042:CAA983045 CJW983042:CJW983045 CTS983042:CTS983045 DDO983042:DDO983045 DNK983042:DNK983045 DXG983042:DXG983045 EHC983042:EHC983045 EQY983042:EQY983045 FAU983042:FAU983045 FKQ983042:FKQ983045 FUM983042:FUM983045 GEI983042:GEI983045 GOE983042:GOE983045 GYA983042:GYA983045 HHW983042:HHW983045 HRS983042:HRS983045 IBO983042:IBO983045 ILK983042:ILK983045 IVG983042:IVG983045 JFC983042:JFC983045 JOY983042:JOY983045 JYU983042:JYU983045 KIQ983042:KIQ983045 KSM983042:KSM983045 LCI983042:LCI983045 LME983042:LME983045 LWA983042:LWA983045 MFW983042:MFW983045 MPS983042:MPS983045 MZO983042:MZO983045 NJK983042:NJK983045 NTG983042:NTG983045 ODC983042:ODC983045 OMY983042:OMY983045 OWU983042:OWU983045 PGQ983042:PGQ983045 PQM983042:PQM983045 QAI983042:QAI983045 QKE983042:QKE983045 QUA983042:QUA983045 RDW983042:RDW983045 RNS983042:RNS983045 RXO983042:RXO983045 SHK983042:SHK983045 SRG983042:SRG983045 TBC983042:TBC983045 TKY983042:TKY983045 TUU983042:TUU983045 UEQ983042:UEQ983045 UOM983042:UOM983045 UYI983042:UYI983045 VIE983042:VIE983045 VSA983042:VSA983045 WBW983042:WBW983045 WLS983042:WLS983045 WVO983042:WVO983045 G32 JC23:JC32 SY23:SY32 ACU23:ACU32 AMQ23:AMQ32 AWM23:AWM32 BGI23:BGI32 BQE23:BQE32 CAA23:CAA32 CJW23:CJW32 CTS23:CTS32 DDO23:DDO32 DNK23:DNK32 DXG23:DXG32 EHC23:EHC32 EQY23:EQY32 FAU23:FAU32 FKQ23:FKQ32 FUM23:FUM32 GEI23:GEI32 GOE23:GOE32 GYA23:GYA32 HHW23:HHW32 HRS23:HRS32 IBO23:IBO32 ILK23:ILK32 IVG23:IVG32 JFC23:JFC32 JOY23:JOY32 JYU23:JYU32 KIQ23:KIQ32 KSM23:KSM32 LCI23:LCI32 LME23:LME32 LWA23:LWA32 MFW23:MFW32 MPS23:MPS32 MZO23:MZO32 NJK23:NJK32 NTG23:NTG32 ODC23:ODC32 OMY23:OMY32 OWU23:OWU32 PGQ23:PGQ32 PQM23:PQM32 QAI23:QAI32 QKE23:QKE32 QUA23:QUA32 RDW23:RDW32 RNS23:RNS32 RXO23:RXO32 SHK23:SHK32 SRG23:SRG32 TBC23:TBC32 TKY23:TKY32 TUU23:TUU32 UEQ23:UEQ32 UOM23:UOM32 UYI23:UYI32 VIE23:VIE32 VSA23:VSA32 WBW23:WBW32 WLS23:WLS32 WVO23:WVO32 G65543:G65550 JC65543:JC65550 SY65543:SY65550 ACU65543:ACU65550 AMQ65543:AMQ65550 AWM65543:AWM65550 BGI65543:BGI65550 BQE65543:BQE65550 CAA65543:CAA65550 CJW65543:CJW65550 CTS65543:CTS65550 DDO65543:DDO65550 DNK65543:DNK65550 DXG65543:DXG65550 EHC65543:EHC65550 EQY65543:EQY65550 FAU65543:FAU65550 FKQ65543:FKQ65550 FUM65543:FUM65550 GEI65543:GEI65550 GOE65543:GOE65550 GYA65543:GYA65550 HHW65543:HHW65550 HRS65543:HRS65550 IBO65543:IBO65550 ILK65543:ILK65550 IVG65543:IVG65550 JFC65543:JFC65550 JOY65543:JOY65550 JYU65543:JYU65550 KIQ65543:KIQ65550 KSM65543:KSM65550 LCI65543:LCI65550 LME65543:LME65550 LWA65543:LWA65550 MFW65543:MFW65550 MPS65543:MPS65550 MZO65543:MZO65550 NJK65543:NJK65550 NTG65543:NTG65550 ODC65543:ODC65550 OMY65543:OMY65550 OWU65543:OWU65550 PGQ65543:PGQ65550 PQM65543:PQM65550 QAI65543:QAI65550 QKE65543:QKE65550 QUA65543:QUA65550 RDW65543:RDW65550 RNS65543:RNS65550 RXO65543:RXO65550 SHK65543:SHK65550 SRG65543:SRG65550 TBC65543:TBC65550 TKY65543:TKY65550 TUU65543:TUU65550 UEQ65543:UEQ65550 UOM65543:UOM65550 UYI65543:UYI65550 VIE65543:VIE65550 VSA65543:VSA65550 WBW65543:WBW65550 WLS65543:WLS65550 WVO65543:WVO65550 G131079:G131086 JC131079:JC131086 SY131079:SY131086 ACU131079:ACU131086 AMQ131079:AMQ131086 AWM131079:AWM131086 BGI131079:BGI131086 BQE131079:BQE131086 CAA131079:CAA131086 CJW131079:CJW131086 CTS131079:CTS131086 DDO131079:DDO131086 DNK131079:DNK131086 DXG131079:DXG131086 EHC131079:EHC131086 EQY131079:EQY131086 FAU131079:FAU131086 FKQ131079:FKQ131086 FUM131079:FUM131086 GEI131079:GEI131086 GOE131079:GOE131086 GYA131079:GYA131086 HHW131079:HHW131086 HRS131079:HRS131086 IBO131079:IBO131086 ILK131079:ILK131086 IVG131079:IVG131086 JFC131079:JFC131086 JOY131079:JOY131086 JYU131079:JYU131086 KIQ131079:KIQ131086 KSM131079:KSM131086 LCI131079:LCI131086 LME131079:LME131086 LWA131079:LWA131086 MFW131079:MFW131086 MPS131079:MPS131086 MZO131079:MZO131086 NJK131079:NJK131086 NTG131079:NTG131086 ODC131079:ODC131086 OMY131079:OMY131086 OWU131079:OWU131086 PGQ131079:PGQ131086 PQM131079:PQM131086 QAI131079:QAI131086 QKE131079:QKE131086 QUA131079:QUA131086 RDW131079:RDW131086 RNS131079:RNS131086 RXO131079:RXO131086 SHK131079:SHK131086 SRG131079:SRG131086 TBC131079:TBC131086 TKY131079:TKY131086 TUU131079:TUU131086 UEQ131079:UEQ131086 UOM131079:UOM131086 UYI131079:UYI131086 VIE131079:VIE131086 VSA131079:VSA131086 WBW131079:WBW131086 WLS131079:WLS131086 WVO131079:WVO131086 G196615:G196622 JC196615:JC196622 SY196615:SY196622 ACU196615:ACU196622 AMQ196615:AMQ196622 AWM196615:AWM196622 BGI196615:BGI196622 BQE196615:BQE196622 CAA196615:CAA196622 CJW196615:CJW196622 CTS196615:CTS196622 DDO196615:DDO196622 DNK196615:DNK196622 DXG196615:DXG196622 EHC196615:EHC196622 EQY196615:EQY196622 FAU196615:FAU196622 FKQ196615:FKQ196622 FUM196615:FUM196622 GEI196615:GEI196622 GOE196615:GOE196622 GYA196615:GYA196622 HHW196615:HHW196622 HRS196615:HRS196622 IBO196615:IBO196622 ILK196615:ILK196622 IVG196615:IVG196622 JFC196615:JFC196622 JOY196615:JOY196622 JYU196615:JYU196622 KIQ196615:KIQ196622 KSM196615:KSM196622 LCI196615:LCI196622 LME196615:LME196622 LWA196615:LWA196622 MFW196615:MFW196622 MPS196615:MPS196622 MZO196615:MZO196622 NJK196615:NJK196622 NTG196615:NTG196622 ODC196615:ODC196622 OMY196615:OMY196622 OWU196615:OWU196622 PGQ196615:PGQ196622 PQM196615:PQM196622 QAI196615:QAI196622 QKE196615:QKE196622 QUA196615:QUA196622 RDW196615:RDW196622 RNS196615:RNS196622 RXO196615:RXO196622 SHK196615:SHK196622 SRG196615:SRG196622 TBC196615:TBC196622 TKY196615:TKY196622 TUU196615:TUU196622 UEQ196615:UEQ196622 UOM196615:UOM196622 UYI196615:UYI196622 VIE196615:VIE196622 VSA196615:VSA196622 WBW196615:WBW196622 WLS196615:WLS196622 WVO196615:WVO196622 G262151:G262158 JC262151:JC262158 SY262151:SY262158 ACU262151:ACU262158 AMQ262151:AMQ262158 AWM262151:AWM262158 BGI262151:BGI262158 BQE262151:BQE262158 CAA262151:CAA262158 CJW262151:CJW262158 CTS262151:CTS262158 DDO262151:DDO262158 DNK262151:DNK262158 DXG262151:DXG262158 EHC262151:EHC262158 EQY262151:EQY262158 FAU262151:FAU262158 FKQ262151:FKQ262158 FUM262151:FUM262158 GEI262151:GEI262158 GOE262151:GOE262158 GYA262151:GYA262158 HHW262151:HHW262158 HRS262151:HRS262158 IBO262151:IBO262158 ILK262151:ILK262158 IVG262151:IVG262158 JFC262151:JFC262158 JOY262151:JOY262158 JYU262151:JYU262158 KIQ262151:KIQ262158 KSM262151:KSM262158 LCI262151:LCI262158 LME262151:LME262158 LWA262151:LWA262158 MFW262151:MFW262158 MPS262151:MPS262158 MZO262151:MZO262158 NJK262151:NJK262158 NTG262151:NTG262158 ODC262151:ODC262158 OMY262151:OMY262158 OWU262151:OWU262158 PGQ262151:PGQ262158 PQM262151:PQM262158 QAI262151:QAI262158 QKE262151:QKE262158 QUA262151:QUA262158 RDW262151:RDW262158 RNS262151:RNS262158 RXO262151:RXO262158 SHK262151:SHK262158 SRG262151:SRG262158 TBC262151:TBC262158 TKY262151:TKY262158 TUU262151:TUU262158 UEQ262151:UEQ262158 UOM262151:UOM262158 UYI262151:UYI262158 VIE262151:VIE262158 VSA262151:VSA262158 WBW262151:WBW262158 WLS262151:WLS262158 WVO262151:WVO262158 G327687:G327694 JC327687:JC327694 SY327687:SY327694 ACU327687:ACU327694 AMQ327687:AMQ327694 AWM327687:AWM327694 BGI327687:BGI327694 BQE327687:BQE327694 CAA327687:CAA327694 CJW327687:CJW327694 CTS327687:CTS327694 DDO327687:DDO327694 DNK327687:DNK327694 DXG327687:DXG327694 EHC327687:EHC327694 EQY327687:EQY327694 FAU327687:FAU327694 FKQ327687:FKQ327694 FUM327687:FUM327694 GEI327687:GEI327694 GOE327687:GOE327694 GYA327687:GYA327694 HHW327687:HHW327694 HRS327687:HRS327694 IBO327687:IBO327694 ILK327687:ILK327694 IVG327687:IVG327694 JFC327687:JFC327694 JOY327687:JOY327694 JYU327687:JYU327694 KIQ327687:KIQ327694 KSM327687:KSM327694 LCI327687:LCI327694 LME327687:LME327694 LWA327687:LWA327694 MFW327687:MFW327694 MPS327687:MPS327694 MZO327687:MZO327694 NJK327687:NJK327694 NTG327687:NTG327694 ODC327687:ODC327694 OMY327687:OMY327694 OWU327687:OWU327694 PGQ327687:PGQ327694 PQM327687:PQM327694 QAI327687:QAI327694 QKE327687:QKE327694 QUA327687:QUA327694 RDW327687:RDW327694 RNS327687:RNS327694 RXO327687:RXO327694 SHK327687:SHK327694 SRG327687:SRG327694 TBC327687:TBC327694 TKY327687:TKY327694 TUU327687:TUU327694 UEQ327687:UEQ327694 UOM327687:UOM327694 UYI327687:UYI327694 VIE327687:VIE327694 VSA327687:VSA327694 WBW327687:WBW327694 WLS327687:WLS327694 WVO327687:WVO327694 G393223:G393230 JC393223:JC393230 SY393223:SY393230 ACU393223:ACU393230 AMQ393223:AMQ393230 AWM393223:AWM393230 BGI393223:BGI393230 BQE393223:BQE393230 CAA393223:CAA393230 CJW393223:CJW393230 CTS393223:CTS393230 DDO393223:DDO393230 DNK393223:DNK393230 DXG393223:DXG393230 EHC393223:EHC393230 EQY393223:EQY393230 FAU393223:FAU393230 FKQ393223:FKQ393230 FUM393223:FUM393230 GEI393223:GEI393230 GOE393223:GOE393230 GYA393223:GYA393230 HHW393223:HHW393230 HRS393223:HRS393230 IBO393223:IBO393230 ILK393223:ILK393230 IVG393223:IVG393230 JFC393223:JFC393230 JOY393223:JOY393230 JYU393223:JYU393230 KIQ393223:KIQ393230 KSM393223:KSM393230 LCI393223:LCI393230 LME393223:LME393230 LWA393223:LWA393230 MFW393223:MFW393230 MPS393223:MPS393230 MZO393223:MZO393230 NJK393223:NJK393230 NTG393223:NTG393230 ODC393223:ODC393230 OMY393223:OMY393230 OWU393223:OWU393230 PGQ393223:PGQ393230 PQM393223:PQM393230 QAI393223:QAI393230 QKE393223:QKE393230 QUA393223:QUA393230 RDW393223:RDW393230 RNS393223:RNS393230 RXO393223:RXO393230 SHK393223:SHK393230 SRG393223:SRG393230 TBC393223:TBC393230 TKY393223:TKY393230 TUU393223:TUU393230 UEQ393223:UEQ393230 UOM393223:UOM393230 UYI393223:UYI393230 VIE393223:VIE393230 VSA393223:VSA393230 WBW393223:WBW393230 WLS393223:WLS393230 WVO393223:WVO393230 G458759:G458766 JC458759:JC458766 SY458759:SY458766 ACU458759:ACU458766 AMQ458759:AMQ458766 AWM458759:AWM458766 BGI458759:BGI458766 BQE458759:BQE458766 CAA458759:CAA458766 CJW458759:CJW458766 CTS458759:CTS458766 DDO458759:DDO458766 DNK458759:DNK458766 DXG458759:DXG458766 EHC458759:EHC458766 EQY458759:EQY458766 FAU458759:FAU458766 FKQ458759:FKQ458766 FUM458759:FUM458766 GEI458759:GEI458766 GOE458759:GOE458766 GYA458759:GYA458766 HHW458759:HHW458766 HRS458759:HRS458766 IBO458759:IBO458766 ILK458759:ILK458766 IVG458759:IVG458766 JFC458759:JFC458766 JOY458759:JOY458766 JYU458759:JYU458766 KIQ458759:KIQ458766 KSM458759:KSM458766 LCI458759:LCI458766 LME458759:LME458766 LWA458759:LWA458766 MFW458759:MFW458766 MPS458759:MPS458766 MZO458759:MZO458766 NJK458759:NJK458766 NTG458759:NTG458766 ODC458759:ODC458766 OMY458759:OMY458766 OWU458759:OWU458766 PGQ458759:PGQ458766 PQM458759:PQM458766 QAI458759:QAI458766 QKE458759:QKE458766 QUA458759:QUA458766 RDW458759:RDW458766 RNS458759:RNS458766 RXO458759:RXO458766 SHK458759:SHK458766 SRG458759:SRG458766 TBC458759:TBC458766 TKY458759:TKY458766 TUU458759:TUU458766 UEQ458759:UEQ458766 UOM458759:UOM458766 UYI458759:UYI458766 VIE458759:VIE458766 VSA458759:VSA458766 WBW458759:WBW458766 WLS458759:WLS458766 WVO458759:WVO458766 G524295:G524302 JC524295:JC524302 SY524295:SY524302 ACU524295:ACU524302 AMQ524295:AMQ524302 AWM524295:AWM524302 BGI524295:BGI524302 BQE524295:BQE524302 CAA524295:CAA524302 CJW524295:CJW524302 CTS524295:CTS524302 DDO524295:DDO524302 DNK524295:DNK524302 DXG524295:DXG524302 EHC524295:EHC524302 EQY524295:EQY524302 FAU524295:FAU524302 FKQ524295:FKQ524302 FUM524295:FUM524302 GEI524295:GEI524302 GOE524295:GOE524302 GYA524295:GYA524302 HHW524295:HHW524302 HRS524295:HRS524302 IBO524295:IBO524302 ILK524295:ILK524302 IVG524295:IVG524302 JFC524295:JFC524302 JOY524295:JOY524302 JYU524295:JYU524302 KIQ524295:KIQ524302 KSM524295:KSM524302 LCI524295:LCI524302 LME524295:LME524302 LWA524295:LWA524302 MFW524295:MFW524302 MPS524295:MPS524302 MZO524295:MZO524302 NJK524295:NJK524302 NTG524295:NTG524302 ODC524295:ODC524302 OMY524295:OMY524302 OWU524295:OWU524302 PGQ524295:PGQ524302 PQM524295:PQM524302 QAI524295:QAI524302 QKE524295:QKE524302 QUA524295:QUA524302 RDW524295:RDW524302 RNS524295:RNS524302 RXO524295:RXO524302 SHK524295:SHK524302 SRG524295:SRG524302 TBC524295:TBC524302 TKY524295:TKY524302 TUU524295:TUU524302 UEQ524295:UEQ524302 UOM524295:UOM524302 UYI524295:UYI524302 VIE524295:VIE524302 VSA524295:VSA524302 WBW524295:WBW524302 WLS524295:WLS524302 WVO524295:WVO524302 G589831:G589838 JC589831:JC589838 SY589831:SY589838 ACU589831:ACU589838 AMQ589831:AMQ589838 AWM589831:AWM589838 BGI589831:BGI589838 BQE589831:BQE589838 CAA589831:CAA589838 CJW589831:CJW589838 CTS589831:CTS589838 DDO589831:DDO589838 DNK589831:DNK589838 DXG589831:DXG589838 EHC589831:EHC589838 EQY589831:EQY589838 FAU589831:FAU589838 FKQ589831:FKQ589838 FUM589831:FUM589838 GEI589831:GEI589838 GOE589831:GOE589838 GYA589831:GYA589838 HHW589831:HHW589838 HRS589831:HRS589838 IBO589831:IBO589838 ILK589831:ILK589838 IVG589831:IVG589838 JFC589831:JFC589838 JOY589831:JOY589838 JYU589831:JYU589838 KIQ589831:KIQ589838 KSM589831:KSM589838 LCI589831:LCI589838 LME589831:LME589838 LWA589831:LWA589838 MFW589831:MFW589838 MPS589831:MPS589838 MZO589831:MZO589838 NJK589831:NJK589838 NTG589831:NTG589838 ODC589831:ODC589838 OMY589831:OMY589838 OWU589831:OWU589838 PGQ589831:PGQ589838 PQM589831:PQM589838 QAI589831:QAI589838 QKE589831:QKE589838 QUA589831:QUA589838 RDW589831:RDW589838 RNS589831:RNS589838 RXO589831:RXO589838 SHK589831:SHK589838 SRG589831:SRG589838 TBC589831:TBC589838 TKY589831:TKY589838 TUU589831:TUU589838 UEQ589831:UEQ589838 UOM589831:UOM589838 UYI589831:UYI589838 VIE589831:VIE589838 VSA589831:VSA589838 WBW589831:WBW589838 WLS589831:WLS589838 WVO589831:WVO589838 G655367:G655374 JC655367:JC655374 SY655367:SY655374 ACU655367:ACU655374 AMQ655367:AMQ655374 AWM655367:AWM655374 BGI655367:BGI655374 BQE655367:BQE655374 CAA655367:CAA655374 CJW655367:CJW655374 CTS655367:CTS655374 DDO655367:DDO655374 DNK655367:DNK655374 DXG655367:DXG655374 EHC655367:EHC655374 EQY655367:EQY655374 FAU655367:FAU655374 FKQ655367:FKQ655374 FUM655367:FUM655374 GEI655367:GEI655374 GOE655367:GOE655374 GYA655367:GYA655374 HHW655367:HHW655374 HRS655367:HRS655374 IBO655367:IBO655374 ILK655367:ILK655374 IVG655367:IVG655374 JFC655367:JFC655374 JOY655367:JOY655374 JYU655367:JYU655374 KIQ655367:KIQ655374 KSM655367:KSM655374 LCI655367:LCI655374 LME655367:LME655374 LWA655367:LWA655374 MFW655367:MFW655374 MPS655367:MPS655374 MZO655367:MZO655374 NJK655367:NJK655374 NTG655367:NTG655374 ODC655367:ODC655374 OMY655367:OMY655374 OWU655367:OWU655374 PGQ655367:PGQ655374 PQM655367:PQM655374 QAI655367:QAI655374 QKE655367:QKE655374 QUA655367:QUA655374 RDW655367:RDW655374 RNS655367:RNS655374 RXO655367:RXO655374 SHK655367:SHK655374 SRG655367:SRG655374 TBC655367:TBC655374 TKY655367:TKY655374 TUU655367:TUU655374 UEQ655367:UEQ655374 UOM655367:UOM655374 UYI655367:UYI655374 VIE655367:VIE655374 VSA655367:VSA655374 WBW655367:WBW655374 WLS655367:WLS655374 WVO655367:WVO655374 G720903:G720910 JC720903:JC720910 SY720903:SY720910 ACU720903:ACU720910 AMQ720903:AMQ720910 AWM720903:AWM720910 BGI720903:BGI720910 BQE720903:BQE720910 CAA720903:CAA720910 CJW720903:CJW720910 CTS720903:CTS720910 DDO720903:DDO720910 DNK720903:DNK720910 DXG720903:DXG720910 EHC720903:EHC720910 EQY720903:EQY720910 FAU720903:FAU720910 FKQ720903:FKQ720910 FUM720903:FUM720910 GEI720903:GEI720910 GOE720903:GOE720910 GYA720903:GYA720910 HHW720903:HHW720910 HRS720903:HRS720910 IBO720903:IBO720910 ILK720903:ILK720910 IVG720903:IVG720910 JFC720903:JFC720910 JOY720903:JOY720910 JYU720903:JYU720910 KIQ720903:KIQ720910 KSM720903:KSM720910 LCI720903:LCI720910 LME720903:LME720910 LWA720903:LWA720910 MFW720903:MFW720910 MPS720903:MPS720910 MZO720903:MZO720910 NJK720903:NJK720910 NTG720903:NTG720910 ODC720903:ODC720910 OMY720903:OMY720910 OWU720903:OWU720910 PGQ720903:PGQ720910 PQM720903:PQM720910 QAI720903:QAI720910 QKE720903:QKE720910 QUA720903:QUA720910 RDW720903:RDW720910 RNS720903:RNS720910 RXO720903:RXO720910 SHK720903:SHK720910 SRG720903:SRG720910 TBC720903:TBC720910 TKY720903:TKY720910 TUU720903:TUU720910 UEQ720903:UEQ720910 UOM720903:UOM720910 UYI720903:UYI720910 VIE720903:VIE720910 VSA720903:VSA720910 WBW720903:WBW720910 WLS720903:WLS720910 WVO720903:WVO720910 G786439:G786446 JC786439:JC786446 SY786439:SY786446 ACU786439:ACU786446 AMQ786439:AMQ786446 AWM786439:AWM786446 BGI786439:BGI786446 BQE786439:BQE786446 CAA786439:CAA786446 CJW786439:CJW786446 CTS786439:CTS786446 DDO786439:DDO786446 DNK786439:DNK786446 DXG786439:DXG786446 EHC786439:EHC786446 EQY786439:EQY786446 FAU786439:FAU786446 FKQ786439:FKQ786446 FUM786439:FUM786446 GEI786439:GEI786446 GOE786439:GOE786446 GYA786439:GYA786446 HHW786439:HHW786446 HRS786439:HRS786446 IBO786439:IBO786446 ILK786439:ILK786446 IVG786439:IVG786446 JFC786439:JFC786446 JOY786439:JOY786446 JYU786439:JYU786446 KIQ786439:KIQ786446 KSM786439:KSM786446 LCI786439:LCI786446 LME786439:LME786446 LWA786439:LWA786446 MFW786439:MFW786446 MPS786439:MPS786446 MZO786439:MZO786446 NJK786439:NJK786446 NTG786439:NTG786446 ODC786439:ODC786446 OMY786439:OMY786446 OWU786439:OWU786446 PGQ786439:PGQ786446 PQM786439:PQM786446 QAI786439:QAI786446 QKE786439:QKE786446 QUA786439:QUA786446 RDW786439:RDW786446 RNS786439:RNS786446 RXO786439:RXO786446 SHK786439:SHK786446 SRG786439:SRG786446 TBC786439:TBC786446 TKY786439:TKY786446 TUU786439:TUU786446 UEQ786439:UEQ786446 UOM786439:UOM786446 UYI786439:UYI786446 VIE786439:VIE786446 VSA786439:VSA786446 WBW786439:WBW786446 WLS786439:WLS786446 WVO786439:WVO786446 G851975:G851982 JC851975:JC851982 SY851975:SY851982 ACU851975:ACU851982 AMQ851975:AMQ851982 AWM851975:AWM851982 BGI851975:BGI851982 BQE851975:BQE851982 CAA851975:CAA851982 CJW851975:CJW851982 CTS851975:CTS851982 DDO851975:DDO851982 DNK851975:DNK851982 DXG851975:DXG851982 EHC851975:EHC851982 EQY851975:EQY851982 FAU851975:FAU851982 FKQ851975:FKQ851982 FUM851975:FUM851982 GEI851975:GEI851982 GOE851975:GOE851982 GYA851975:GYA851982 HHW851975:HHW851982 HRS851975:HRS851982 IBO851975:IBO851982 ILK851975:ILK851982 IVG851975:IVG851982 JFC851975:JFC851982 JOY851975:JOY851982 JYU851975:JYU851982 KIQ851975:KIQ851982 KSM851975:KSM851982 LCI851975:LCI851982 LME851975:LME851982 LWA851975:LWA851982 MFW851975:MFW851982 MPS851975:MPS851982 MZO851975:MZO851982 NJK851975:NJK851982 NTG851975:NTG851982 ODC851975:ODC851982 OMY851975:OMY851982 OWU851975:OWU851982 PGQ851975:PGQ851982 PQM851975:PQM851982 QAI851975:QAI851982 QKE851975:QKE851982 QUA851975:QUA851982 RDW851975:RDW851982 RNS851975:RNS851982 RXO851975:RXO851982 SHK851975:SHK851982 SRG851975:SRG851982 TBC851975:TBC851982 TKY851975:TKY851982 TUU851975:TUU851982 UEQ851975:UEQ851982 UOM851975:UOM851982 UYI851975:UYI851982 VIE851975:VIE851982 VSA851975:VSA851982 WBW851975:WBW851982 WLS851975:WLS851982 WVO851975:WVO851982 G917511:G917518 JC917511:JC917518 SY917511:SY917518 ACU917511:ACU917518 AMQ917511:AMQ917518 AWM917511:AWM917518 BGI917511:BGI917518 BQE917511:BQE917518 CAA917511:CAA917518 CJW917511:CJW917518 CTS917511:CTS917518 DDO917511:DDO917518 DNK917511:DNK917518 DXG917511:DXG917518 EHC917511:EHC917518 EQY917511:EQY917518 FAU917511:FAU917518 FKQ917511:FKQ917518 FUM917511:FUM917518 GEI917511:GEI917518 GOE917511:GOE917518 GYA917511:GYA917518 HHW917511:HHW917518 HRS917511:HRS917518 IBO917511:IBO917518 ILK917511:ILK917518 IVG917511:IVG917518 JFC917511:JFC917518 JOY917511:JOY917518 JYU917511:JYU917518 KIQ917511:KIQ917518 KSM917511:KSM917518 LCI917511:LCI917518 LME917511:LME917518 LWA917511:LWA917518 MFW917511:MFW917518 MPS917511:MPS917518 MZO917511:MZO917518 NJK917511:NJK917518 NTG917511:NTG917518 ODC917511:ODC917518 OMY917511:OMY917518 OWU917511:OWU917518 PGQ917511:PGQ917518 PQM917511:PQM917518 QAI917511:QAI917518 QKE917511:QKE917518 QUA917511:QUA917518 RDW917511:RDW917518 RNS917511:RNS917518 RXO917511:RXO917518 SHK917511:SHK917518 SRG917511:SRG917518 TBC917511:TBC917518 TKY917511:TKY917518 TUU917511:TUU917518 UEQ917511:UEQ917518 UOM917511:UOM917518 UYI917511:UYI917518 VIE917511:VIE917518 VSA917511:VSA917518 WBW917511:WBW917518 WLS917511:WLS917518 WVO917511:WVO917518 G983047:G983054 JC983047:JC983054 SY983047:SY983054 ACU983047:ACU983054 AMQ983047:AMQ983054 AWM983047:AWM983054 BGI983047:BGI983054 BQE983047:BQE983054 CAA983047:CAA983054 CJW983047:CJW983054 CTS983047:CTS983054 DDO983047:DDO983054 DNK983047:DNK983054 DXG983047:DXG983054 EHC983047:EHC983054 EQY983047:EQY983054 FAU983047:FAU983054 FKQ983047:FKQ983054 FUM983047:FUM983054 GEI983047:GEI983054 GOE983047:GOE983054 GYA983047:GYA983054 HHW983047:HHW983054 HRS983047:HRS983054 IBO983047:IBO983054 ILK983047:ILK983054 IVG983047:IVG983054 JFC983047:JFC983054 JOY983047:JOY983054 JYU983047:JYU983054 KIQ983047:KIQ983054 KSM983047:KSM983054 LCI983047:LCI983054 LME983047:LME983054 LWA983047:LWA983054 MFW983047:MFW983054 MPS983047:MPS983054 MZO983047:MZO983054 NJK983047:NJK983054 NTG983047:NTG983054 ODC983047:ODC983054 OMY983047:OMY983054 OWU983047:OWU983054 PGQ983047:PGQ983054 PQM983047:PQM983054 QAI983047:QAI983054 QKE983047:QKE983054 QUA983047:QUA983054 RDW983047:RDW983054 RNS983047:RNS983054 RXO983047:RXO983054 SHK983047:SHK983054 SRG983047:SRG983054 TBC983047:TBC983054 TKY983047:TKY983054 TUU983047:TUU983054 UEQ983047:UEQ983054 UOM983047:UOM983054 UYI983047:UYI983054 VIE983047:VIE983054 VSA983047:VSA983054 WBW983047:WBW983054 WLS983047:WLS983054 WVO983047:WVO983054 G6 JC6 SY6 ACU6 AMQ6 AWM6 BGI6 BQE6 CAA6 CJW6 CTS6 DDO6 DNK6 DXG6 EHC6 EQY6 FAU6 FKQ6 FUM6 GEI6 GOE6 GYA6 HHW6 HRS6 IBO6 ILK6 IVG6 JFC6 JOY6 JYU6 KIQ6 KSM6 LCI6 LME6 LWA6 MFW6 MPS6 MZO6 NJK6 NTG6 ODC6 OMY6 OWU6 PGQ6 PQM6 QAI6 QKE6 QUA6 RDW6 RNS6 RXO6 SHK6 SRG6 TBC6 TKY6 TUU6 UEQ6 UOM6 UYI6 VIE6 VSA6 WBW6 WLS6 WVO6 G65523 JC65523 SY65523 ACU65523 AMQ65523 AWM65523 BGI65523 BQE65523 CAA65523 CJW65523 CTS65523 DDO65523 DNK65523 DXG65523 EHC65523 EQY65523 FAU65523 FKQ65523 FUM65523 GEI65523 GOE65523 GYA65523 HHW65523 HRS65523 IBO65523 ILK65523 IVG65523 JFC65523 JOY65523 JYU65523 KIQ65523 KSM65523 LCI65523 LME65523 LWA65523 MFW65523 MPS65523 MZO65523 NJK65523 NTG65523 ODC65523 OMY65523 OWU65523 PGQ65523 PQM65523 QAI65523 QKE65523 QUA65523 RDW65523 RNS65523 RXO65523 SHK65523 SRG65523 TBC65523 TKY65523 TUU65523 UEQ65523 UOM65523 UYI65523 VIE65523 VSA65523 WBW65523 WLS65523 WVO65523 G131059 JC131059 SY131059 ACU131059 AMQ131059 AWM131059 BGI131059 BQE131059 CAA131059 CJW131059 CTS131059 DDO131059 DNK131059 DXG131059 EHC131059 EQY131059 FAU131059 FKQ131059 FUM131059 GEI131059 GOE131059 GYA131059 HHW131059 HRS131059 IBO131059 ILK131059 IVG131059 JFC131059 JOY131059 JYU131059 KIQ131059 KSM131059 LCI131059 LME131059 LWA131059 MFW131059 MPS131059 MZO131059 NJK131059 NTG131059 ODC131059 OMY131059 OWU131059 PGQ131059 PQM131059 QAI131059 QKE131059 QUA131059 RDW131059 RNS131059 RXO131059 SHK131059 SRG131059 TBC131059 TKY131059 TUU131059 UEQ131059 UOM131059 UYI131059 VIE131059 VSA131059 WBW131059 WLS131059 WVO131059 G196595 JC196595 SY196595 ACU196595 AMQ196595 AWM196595 BGI196595 BQE196595 CAA196595 CJW196595 CTS196595 DDO196595 DNK196595 DXG196595 EHC196595 EQY196595 FAU196595 FKQ196595 FUM196595 GEI196595 GOE196595 GYA196595 HHW196595 HRS196595 IBO196595 ILK196595 IVG196595 JFC196595 JOY196595 JYU196595 KIQ196595 KSM196595 LCI196595 LME196595 LWA196595 MFW196595 MPS196595 MZO196595 NJK196595 NTG196595 ODC196595 OMY196595 OWU196595 PGQ196595 PQM196595 QAI196595 QKE196595 QUA196595 RDW196595 RNS196595 RXO196595 SHK196595 SRG196595 TBC196595 TKY196595 TUU196595 UEQ196595 UOM196595 UYI196595 VIE196595 VSA196595 WBW196595 WLS196595 WVO196595 G262131 JC262131 SY262131 ACU262131 AMQ262131 AWM262131 BGI262131 BQE262131 CAA262131 CJW262131 CTS262131 DDO262131 DNK262131 DXG262131 EHC262131 EQY262131 FAU262131 FKQ262131 FUM262131 GEI262131 GOE262131 GYA262131 HHW262131 HRS262131 IBO262131 ILK262131 IVG262131 JFC262131 JOY262131 JYU262131 KIQ262131 KSM262131 LCI262131 LME262131 LWA262131 MFW262131 MPS262131 MZO262131 NJK262131 NTG262131 ODC262131 OMY262131 OWU262131 PGQ262131 PQM262131 QAI262131 QKE262131 QUA262131 RDW262131 RNS262131 RXO262131 SHK262131 SRG262131 TBC262131 TKY262131 TUU262131 UEQ262131 UOM262131 UYI262131 VIE262131 VSA262131 WBW262131 WLS262131 WVO262131 G327667 JC327667 SY327667 ACU327667 AMQ327667 AWM327667 BGI327667 BQE327667 CAA327667 CJW327667 CTS327667 DDO327667 DNK327667 DXG327667 EHC327667 EQY327667 FAU327667 FKQ327667 FUM327667 GEI327667 GOE327667 GYA327667 HHW327667 HRS327667 IBO327667 ILK327667 IVG327667 JFC327667 JOY327667 JYU327667 KIQ327667 KSM327667 LCI327667 LME327667 LWA327667 MFW327667 MPS327667 MZO327667 NJK327667 NTG327667 ODC327667 OMY327667 OWU327667 PGQ327667 PQM327667 QAI327667 QKE327667 QUA327667 RDW327667 RNS327667 RXO327667 SHK327667 SRG327667 TBC327667 TKY327667 TUU327667 UEQ327667 UOM327667 UYI327667 VIE327667 VSA327667 WBW327667 WLS327667 WVO327667 G393203 JC393203 SY393203 ACU393203 AMQ393203 AWM393203 BGI393203 BQE393203 CAA393203 CJW393203 CTS393203 DDO393203 DNK393203 DXG393203 EHC393203 EQY393203 FAU393203 FKQ393203 FUM393203 GEI393203 GOE393203 GYA393203 HHW393203 HRS393203 IBO393203 ILK393203 IVG393203 JFC393203 JOY393203 JYU393203 KIQ393203 KSM393203 LCI393203 LME393203 LWA393203 MFW393203 MPS393203 MZO393203 NJK393203 NTG393203 ODC393203 OMY393203 OWU393203 PGQ393203 PQM393203 QAI393203 QKE393203 QUA393203 RDW393203 RNS393203 RXO393203 SHK393203 SRG393203 TBC393203 TKY393203 TUU393203 UEQ393203 UOM393203 UYI393203 VIE393203 VSA393203 WBW393203 WLS393203 WVO393203 G458739 JC458739 SY458739 ACU458739 AMQ458739 AWM458739 BGI458739 BQE458739 CAA458739 CJW458739 CTS458739 DDO458739 DNK458739 DXG458739 EHC458739 EQY458739 FAU458739 FKQ458739 FUM458739 GEI458739 GOE458739 GYA458739 HHW458739 HRS458739 IBO458739 ILK458739 IVG458739 JFC458739 JOY458739 JYU458739 KIQ458739 KSM458739 LCI458739 LME458739 LWA458739 MFW458739 MPS458739 MZO458739 NJK458739 NTG458739 ODC458739 OMY458739 OWU458739 PGQ458739 PQM458739 QAI458739 QKE458739 QUA458739 RDW458739 RNS458739 RXO458739 SHK458739 SRG458739 TBC458739 TKY458739 TUU458739 UEQ458739 UOM458739 UYI458739 VIE458739 VSA458739 WBW458739 WLS458739 WVO458739 G524275 JC524275 SY524275 ACU524275 AMQ524275 AWM524275 BGI524275 BQE524275 CAA524275 CJW524275 CTS524275 DDO524275 DNK524275 DXG524275 EHC524275 EQY524275 FAU524275 FKQ524275 FUM524275 GEI524275 GOE524275 GYA524275 HHW524275 HRS524275 IBO524275 ILK524275 IVG524275 JFC524275 JOY524275 JYU524275 KIQ524275 KSM524275 LCI524275 LME524275 LWA524275 MFW524275 MPS524275 MZO524275 NJK524275 NTG524275 ODC524275 OMY524275 OWU524275 PGQ524275 PQM524275 QAI524275 QKE524275 QUA524275 RDW524275 RNS524275 RXO524275 SHK524275 SRG524275 TBC524275 TKY524275 TUU524275 UEQ524275 UOM524275 UYI524275 VIE524275 VSA524275 WBW524275 WLS524275 WVO524275 G589811 JC589811 SY589811 ACU589811 AMQ589811 AWM589811 BGI589811 BQE589811 CAA589811 CJW589811 CTS589811 DDO589811 DNK589811 DXG589811 EHC589811 EQY589811 FAU589811 FKQ589811 FUM589811 GEI589811 GOE589811 GYA589811 HHW589811 HRS589811 IBO589811 ILK589811 IVG589811 JFC589811 JOY589811 JYU589811 KIQ589811 KSM589811 LCI589811 LME589811 LWA589811 MFW589811 MPS589811 MZO589811 NJK589811 NTG589811 ODC589811 OMY589811 OWU589811 PGQ589811 PQM589811 QAI589811 QKE589811 QUA589811 RDW589811 RNS589811 RXO589811 SHK589811 SRG589811 TBC589811 TKY589811 TUU589811 UEQ589811 UOM589811 UYI589811 VIE589811 VSA589811 WBW589811 WLS589811 WVO589811 G655347 JC655347 SY655347 ACU655347 AMQ655347 AWM655347 BGI655347 BQE655347 CAA655347 CJW655347 CTS655347 DDO655347 DNK655347 DXG655347 EHC655347 EQY655347 FAU655347 FKQ655347 FUM655347 GEI655347 GOE655347 GYA655347 HHW655347 HRS655347 IBO655347 ILK655347 IVG655347 JFC655347 JOY655347 JYU655347 KIQ655347 KSM655347 LCI655347 LME655347 LWA655347 MFW655347 MPS655347 MZO655347 NJK655347 NTG655347 ODC655347 OMY655347 OWU655347 PGQ655347 PQM655347 QAI655347 QKE655347 QUA655347 RDW655347 RNS655347 RXO655347 SHK655347 SRG655347 TBC655347 TKY655347 TUU655347 UEQ655347 UOM655347 UYI655347 VIE655347 VSA655347 WBW655347 WLS655347 WVO655347 G720883 JC720883 SY720883 ACU720883 AMQ720883 AWM720883 BGI720883 BQE720883 CAA720883 CJW720883 CTS720883 DDO720883 DNK720883 DXG720883 EHC720883 EQY720883 FAU720883 FKQ720883 FUM720883 GEI720883 GOE720883 GYA720883 HHW720883 HRS720883 IBO720883 ILK720883 IVG720883 JFC720883 JOY720883 JYU720883 KIQ720883 KSM720883 LCI720883 LME720883 LWA720883 MFW720883 MPS720883 MZO720883 NJK720883 NTG720883 ODC720883 OMY720883 OWU720883 PGQ720883 PQM720883 QAI720883 QKE720883 QUA720883 RDW720883 RNS720883 RXO720883 SHK720883 SRG720883 TBC720883 TKY720883 TUU720883 UEQ720883 UOM720883 UYI720883 VIE720883 VSA720883 WBW720883 WLS720883 WVO720883 G786419 JC786419 SY786419 ACU786419 AMQ786419 AWM786419 BGI786419 BQE786419 CAA786419 CJW786419 CTS786419 DDO786419 DNK786419 DXG786419 EHC786419 EQY786419 FAU786419 FKQ786419 FUM786419 GEI786419 GOE786419 GYA786419 HHW786419 HRS786419 IBO786419 ILK786419 IVG786419 JFC786419 JOY786419 JYU786419 KIQ786419 KSM786419 LCI786419 LME786419 LWA786419 MFW786419 MPS786419 MZO786419 NJK786419 NTG786419 ODC786419 OMY786419 OWU786419 PGQ786419 PQM786419 QAI786419 QKE786419 QUA786419 RDW786419 RNS786419 RXO786419 SHK786419 SRG786419 TBC786419 TKY786419 TUU786419 UEQ786419 UOM786419 UYI786419 VIE786419 VSA786419 WBW786419 WLS786419 WVO786419 G851955 JC851955 SY851955 ACU851955 AMQ851955 AWM851955 BGI851955 BQE851955 CAA851955 CJW851955 CTS851955 DDO851955 DNK851955 DXG851955 EHC851955 EQY851955 FAU851955 FKQ851955 FUM851955 GEI851955 GOE851955 GYA851955 HHW851955 HRS851955 IBO851955 ILK851955 IVG851955 JFC851955 JOY851955 JYU851955 KIQ851955 KSM851955 LCI851955 LME851955 LWA851955 MFW851955 MPS851955 MZO851955 NJK851955 NTG851955 ODC851955 OMY851955 OWU851955 PGQ851955 PQM851955 QAI851955 QKE851955 QUA851955 RDW851955 RNS851955 RXO851955 SHK851955 SRG851955 TBC851955 TKY851955 TUU851955 UEQ851955 UOM851955 UYI851955 VIE851955 VSA851955 WBW851955 WLS851955 WVO851955 G917491 JC917491 SY917491 ACU917491 AMQ917491 AWM917491 BGI917491 BQE917491 CAA917491 CJW917491 CTS917491 DDO917491 DNK917491 DXG917491 EHC917491 EQY917491 FAU917491 FKQ917491 FUM917491 GEI917491 GOE917491 GYA917491 HHW917491 HRS917491 IBO917491 ILK917491 IVG917491 JFC917491 JOY917491 JYU917491 KIQ917491 KSM917491 LCI917491 LME917491 LWA917491 MFW917491 MPS917491 MZO917491 NJK917491 NTG917491 ODC917491 OMY917491 OWU917491 PGQ917491 PQM917491 QAI917491 QKE917491 QUA917491 RDW917491 RNS917491 RXO917491 SHK917491 SRG917491 TBC917491 TKY917491 TUU917491 UEQ917491 UOM917491 UYI917491 VIE917491 VSA917491 WBW917491 WLS917491 WVO917491 G983027 JC983027 SY983027 ACU983027 AMQ983027 AWM983027 BGI983027 BQE983027 CAA983027 CJW983027 CTS983027 DDO983027 DNK983027 DXG983027 EHC983027 EQY983027 FAU983027 FKQ983027 FUM983027 GEI983027 GOE983027 GYA983027 HHW983027 HRS983027 IBO983027 ILK983027 IVG983027 JFC983027 JOY983027 JYU983027 KIQ983027 KSM983027 LCI983027 LME983027 LWA983027 MFW983027 MPS983027 MZO983027 NJK983027 NTG983027 ODC983027 OMY983027 OWU983027 PGQ983027 PQM983027 QAI983027 QKE983027 QUA983027 RDW983027 RNS983027 RXO983027 SHK983027 SRG983027 TBC983027 TKY983027 TUU983027 UEQ983027 UOM983027 UYI983027 VIE983027 VSA983027 WBW983027 WLS983027 WVO983027 WVO983083 JC42:JC45 SY42:SY45 ACU42:ACU45 AMQ42:AMQ45 AWM42:AWM45 BGI42:BGI45 BQE42:BQE45 CAA42:CAA45 CJW42:CJW45 CTS42:CTS45 DDO42:DDO45 DNK42:DNK45 DXG42:DXG45 EHC42:EHC45 EQY42:EQY45 FAU42:FAU45 FKQ42:FKQ45 FUM42:FUM45 GEI42:GEI45 GOE42:GOE45 GYA42:GYA45 HHW42:HHW45 HRS42:HRS45 IBO42:IBO45 ILK42:ILK45 IVG42:IVG45 JFC42:JFC45 JOY42:JOY45 JYU42:JYU45 KIQ42:KIQ45 KSM42:KSM45 LCI42:LCI45 LME42:LME45 LWA42:LWA45 MFW42:MFW45 MPS42:MPS45 MZO42:MZO45 NJK42:NJK45 NTG42:NTG45 ODC42:ODC45 OMY42:OMY45 OWU42:OWU45 PGQ42:PGQ45 PQM42:PQM45 QAI42:QAI45 QKE42:QKE45 QUA42:QUA45 RDW42:RDW45 RNS42:RNS45 RXO42:RXO45 SHK42:SHK45 SRG42:SRG45 TBC42:TBC45 TKY42:TKY45 TUU42:TUU45 UEQ42:UEQ45 UOM42:UOM45 UYI42:UYI45 VIE42:VIE45 VSA42:VSA45 WBW42:WBW45 WLS42:WLS45 WVO42:WVO45 G65572:G65573 JC65572:JC65573 SY65572:SY65573 ACU65572:ACU65573 AMQ65572:AMQ65573 AWM65572:AWM65573 BGI65572:BGI65573 BQE65572:BQE65573 CAA65572:CAA65573 CJW65572:CJW65573 CTS65572:CTS65573 DDO65572:DDO65573 DNK65572:DNK65573 DXG65572:DXG65573 EHC65572:EHC65573 EQY65572:EQY65573 FAU65572:FAU65573 FKQ65572:FKQ65573 FUM65572:FUM65573 GEI65572:GEI65573 GOE65572:GOE65573 GYA65572:GYA65573 HHW65572:HHW65573 HRS65572:HRS65573 IBO65572:IBO65573 ILK65572:ILK65573 IVG65572:IVG65573 JFC65572:JFC65573 JOY65572:JOY65573 JYU65572:JYU65573 KIQ65572:KIQ65573 KSM65572:KSM65573 LCI65572:LCI65573 LME65572:LME65573 LWA65572:LWA65573 MFW65572:MFW65573 MPS65572:MPS65573 MZO65572:MZO65573 NJK65572:NJK65573 NTG65572:NTG65573 ODC65572:ODC65573 OMY65572:OMY65573 OWU65572:OWU65573 PGQ65572:PGQ65573 PQM65572:PQM65573 QAI65572:QAI65573 QKE65572:QKE65573 QUA65572:QUA65573 RDW65572:RDW65573 RNS65572:RNS65573 RXO65572:RXO65573 SHK65572:SHK65573 SRG65572:SRG65573 TBC65572:TBC65573 TKY65572:TKY65573 TUU65572:TUU65573 UEQ65572:UEQ65573 UOM65572:UOM65573 UYI65572:UYI65573 VIE65572:VIE65573 VSA65572:VSA65573 WBW65572:WBW65573 WLS65572:WLS65573 WVO65572:WVO65573 G131108:G131109 JC131108:JC131109 SY131108:SY131109 ACU131108:ACU131109 AMQ131108:AMQ131109 AWM131108:AWM131109 BGI131108:BGI131109 BQE131108:BQE131109 CAA131108:CAA131109 CJW131108:CJW131109 CTS131108:CTS131109 DDO131108:DDO131109 DNK131108:DNK131109 DXG131108:DXG131109 EHC131108:EHC131109 EQY131108:EQY131109 FAU131108:FAU131109 FKQ131108:FKQ131109 FUM131108:FUM131109 GEI131108:GEI131109 GOE131108:GOE131109 GYA131108:GYA131109 HHW131108:HHW131109 HRS131108:HRS131109 IBO131108:IBO131109 ILK131108:ILK131109 IVG131108:IVG131109 JFC131108:JFC131109 JOY131108:JOY131109 JYU131108:JYU131109 KIQ131108:KIQ131109 KSM131108:KSM131109 LCI131108:LCI131109 LME131108:LME131109 LWA131108:LWA131109 MFW131108:MFW131109 MPS131108:MPS131109 MZO131108:MZO131109 NJK131108:NJK131109 NTG131108:NTG131109 ODC131108:ODC131109 OMY131108:OMY131109 OWU131108:OWU131109 PGQ131108:PGQ131109 PQM131108:PQM131109 QAI131108:QAI131109 QKE131108:QKE131109 QUA131108:QUA131109 RDW131108:RDW131109 RNS131108:RNS131109 RXO131108:RXO131109 SHK131108:SHK131109 SRG131108:SRG131109 TBC131108:TBC131109 TKY131108:TKY131109 TUU131108:TUU131109 UEQ131108:UEQ131109 UOM131108:UOM131109 UYI131108:UYI131109 VIE131108:VIE131109 VSA131108:VSA131109 WBW131108:WBW131109 WLS131108:WLS131109 WVO131108:WVO131109 G196644:G196645 JC196644:JC196645 SY196644:SY196645 ACU196644:ACU196645 AMQ196644:AMQ196645 AWM196644:AWM196645 BGI196644:BGI196645 BQE196644:BQE196645 CAA196644:CAA196645 CJW196644:CJW196645 CTS196644:CTS196645 DDO196644:DDO196645 DNK196644:DNK196645 DXG196644:DXG196645 EHC196644:EHC196645 EQY196644:EQY196645 FAU196644:FAU196645 FKQ196644:FKQ196645 FUM196644:FUM196645 GEI196644:GEI196645 GOE196644:GOE196645 GYA196644:GYA196645 HHW196644:HHW196645 HRS196644:HRS196645 IBO196644:IBO196645 ILK196644:ILK196645 IVG196644:IVG196645 JFC196644:JFC196645 JOY196644:JOY196645 JYU196644:JYU196645 KIQ196644:KIQ196645 KSM196644:KSM196645 LCI196644:LCI196645 LME196644:LME196645 LWA196644:LWA196645 MFW196644:MFW196645 MPS196644:MPS196645 MZO196644:MZO196645 NJK196644:NJK196645 NTG196644:NTG196645 ODC196644:ODC196645 OMY196644:OMY196645 OWU196644:OWU196645 PGQ196644:PGQ196645 PQM196644:PQM196645 QAI196644:QAI196645 QKE196644:QKE196645 QUA196644:QUA196645 RDW196644:RDW196645 RNS196644:RNS196645 RXO196644:RXO196645 SHK196644:SHK196645 SRG196644:SRG196645 TBC196644:TBC196645 TKY196644:TKY196645 TUU196644:TUU196645 UEQ196644:UEQ196645 UOM196644:UOM196645 UYI196644:UYI196645 VIE196644:VIE196645 VSA196644:VSA196645 WBW196644:WBW196645 WLS196644:WLS196645 WVO196644:WVO196645 G262180:G262181 JC262180:JC262181 SY262180:SY262181 ACU262180:ACU262181 AMQ262180:AMQ262181 AWM262180:AWM262181 BGI262180:BGI262181 BQE262180:BQE262181 CAA262180:CAA262181 CJW262180:CJW262181 CTS262180:CTS262181 DDO262180:DDO262181 DNK262180:DNK262181 DXG262180:DXG262181 EHC262180:EHC262181 EQY262180:EQY262181 FAU262180:FAU262181 FKQ262180:FKQ262181 FUM262180:FUM262181 GEI262180:GEI262181 GOE262180:GOE262181 GYA262180:GYA262181 HHW262180:HHW262181 HRS262180:HRS262181 IBO262180:IBO262181 ILK262180:ILK262181 IVG262180:IVG262181 JFC262180:JFC262181 JOY262180:JOY262181 JYU262180:JYU262181 KIQ262180:KIQ262181 KSM262180:KSM262181 LCI262180:LCI262181 LME262180:LME262181 LWA262180:LWA262181 MFW262180:MFW262181 MPS262180:MPS262181 MZO262180:MZO262181 NJK262180:NJK262181 NTG262180:NTG262181 ODC262180:ODC262181 OMY262180:OMY262181 OWU262180:OWU262181 PGQ262180:PGQ262181 PQM262180:PQM262181 QAI262180:QAI262181 QKE262180:QKE262181 QUA262180:QUA262181 RDW262180:RDW262181 RNS262180:RNS262181 RXO262180:RXO262181 SHK262180:SHK262181 SRG262180:SRG262181 TBC262180:TBC262181 TKY262180:TKY262181 TUU262180:TUU262181 UEQ262180:UEQ262181 UOM262180:UOM262181 UYI262180:UYI262181 VIE262180:VIE262181 VSA262180:VSA262181 WBW262180:WBW262181 WLS262180:WLS262181 WVO262180:WVO262181 G327716:G327717 JC327716:JC327717 SY327716:SY327717 ACU327716:ACU327717 AMQ327716:AMQ327717 AWM327716:AWM327717 BGI327716:BGI327717 BQE327716:BQE327717 CAA327716:CAA327717 CJW327716:CJW327717 CTS327716:CTS327717 DDO327716:DDO327717 DNK327716:DNK327717 DXG327716:DXG327717 EHC327716:EHC327717 EQY327716:EQY327717 FAU327716:FAU327717 FKQ327716:FKQ327717 FUM327716:FUM327717 GEI327716:GEI327717 GOE327716:GOE327717 GYA327716:GYA327717 HHW327716:HHW327717 HRS327716:HRS327717 IBO327716:IBO327717 ILK327716:ILK327717 IVG327716:IVG327717 JFC327716:JFC327717 JOY327716:JOY327717 JYU327716:JYU327717 KIQ327716:KIQ327717 KSM327716:KSM327717 LCI327716:LCI327717 LME327716:LME327717 LWA327716:LWA327717 MFW327716:MFW327717 MPS327716:MPS327717 MZO327716:MZO327717 NJK327716:NJK327717 NTG327716:NTG327717 ODC327716:ODC327717 OMY327716:OMY327717 OWU327716:OWU327717 PGQ327716:PGQ327717 PQM327716:PQM327717 QAI327716:QAI327717 QKE327716:QKE327717 QUA327716:QUA327717 RDW327716:RDW327717 RNS327716:RNS327717 RXO327716:RXO327717 SHK327716:SHK327717 SRG327716:SRG327717 TBC327716:TBC327717 TKY327716:TKY327717 TUU327716:TUU327717 UEQ327716:UEQ327717 UOM327716:UOM327717 UYI327716:UYI327717 VIE327716:VIE327717 VSA327716:VSA327717 WBW327716:WBW327717 WLS327716:WLS327717 WVO327716:WVO327717 G393252:G393253 JC393252:JC393253 SY393252:SY393253 ACU393252:ACU393253 AMQ393252:AMQ393253 AWM393252:AWM393253 BGI393252:BGI393253 BQE393252:BQE393253 CAA393252:CAA393253 CJW393252:CJW393253 CTS393252:CTS393253 DDO393252:DDO393253 DNK393252:DNK393253 DXG393252:DXG393253 EHC393252:EHC393253 EQY393252:EQY393253 FAU393252:FAU393253 FKQ393252:FKQ393253 FUM393252:FUM393253 GEI393252:GEI393253 GOE393252:GOE393253 GYA393252:GYA393253 HHW393252:HHW393253 HRS393252:HRS393253 IBO393252:IBO393253 ILK393252:ILK393253 IVG393252:IVG393253 JFC393252:JFC393253 JOY393252:JOY393253 JYU393252:JYU393253 KIQ393252:KIQ393253 KSM393252:KSM393253 LCI393252:LCI393253 LME393252:LME393253 LWA393252:LWA393253 MFW393252:MFW393253 MPS393252:MPS393253 MZO393252:MZO393253 NJK393252:NJK393253 NTG393252:NTG393253 ODC393252:ODC393253 OMY393252:OMY393253 OWU393252:OWU393253 PGQ393252:PGQ393253 PQM393252:PQM393253 QAI393252:QAI393253 QKE393252:QKE393253 QUA393252:QUA393253 RDW393252:RDW393253 RNS393252:RNS393253 RXO393252:RXO393253 SHK393252:SHK393253 SRG393252:SRG393253 TBC393252:TBC393253 TKY393252:TKY393253 TUU393252:TUU393253 UEQ393252:UEQ393253 UOM393252:UOM393253 UYI393252:UYI393253 VIE393252:VIE393253 VSA393252:VSA393253 WBW393252:WBW393253 WLS393252:WLS393253 WVO393252:WVO393253 G458788:G458789 JC458788:JC458789 SY458788:SY458789 ACU458788:ACU458789 AMQ458788:AMQ458789 AWM458788:AWM458789 BGI458788:BGI458789 BQE458788:BQE458789 CAA458788:CAA458789 CJW458788:CJW458789 CTS458788:CTS458789 DDO458788:DDO458789 DNK458788:DNK458789 DXG458788:DXG458789 EHC458788:EHC458789 EQY458788:EQY458789 FAU458788:FAU458789 FKQ458788:FKQ458789 FUM458788:FUM458789 GEI458788:GEI458789 GOE458788:GOE458789 GYA458788:GYA458789 HHW458788:HHW458789 HRS458788:HRS458789 IBO458788:IBO458789 ILK458788:ILK458789 IVG458788:IVG458789 JFC458788:JFC458789 JOY458788:JOY458789 JYU458788:JYU458789 KIQ458788:KIQ458789 KSM458788:KSM458789 LCI458788:LCI458789 LME458788:LME458789 LWA458788:LWA458789 MFW458788:MFW458789 MPS458788:MPS458789 MZO458788:MZO458789 NJK458788:NJK458789 NTG458788:NTG458789 ODC458788:ODC458789 OMY458788:OMY458789 OWU458788:OWU458789 PGQ458788:PGQ458789 PQM458788:PQM458789 QAI458788:QAI458789 QKE458788:QKE458789 QUA458788:QUA458789 RDW458788:RDW458789 RNS458788:RNS458789 RXO458788:RXO458789 SHK458788:SHK458789 SRG458788:SRG458789 TBC458788:TBC458789 TKY458788:TKY458789 TUU458788:TUU458789 UEQ458788:UEQ458789 UOM458788:UOM458789 UYI458788:UYI458789 VIE458788:VIE458789 VSA458788:VSA458789 WBW458788:WBW458789 WLS458788:WLS458789 WVO458788:WVO458789 G524324:G524325 JC524324:JC524325 SY524324:SY524325 ACU524324:ACU524325 AMQ524324:AMQ524325 AWM524324:AWM524325 BGI524324:BGI524325 BQE524324:BQE524325 CAA524324:CAA524325 CJW524324:CJW524325 CTS524324:CTS524325 DDO524324:DDO524325 DNK524324:DNK524325 DXG524324:DXG524325 EHC524324:EHC524325 EQY524324:EQY524325 FAU524324:FAU524325 FKQ524324:FKQ524325 FUM524324:FUM524325 GEI524324:GEI524325 GOE524324:GOE524325 GYA524324:GYA524325 HHW524324:HHW524325 HRS524324:HRS524325 IBO524324:IBO524325 ILK524324:ILK524325 IVG524324:IVG524325 JFC524324:JFC524325 JOY524324:JOY524325 JYU524324:JYU524325 KIQ524324:KIQ524325 KSM524324:KSM524325 LCI524324:LCI524325 LME524324:LME524325 LWA524324:LWA524325 MFW524324:MFW524325 MPS524324:MPS524325 MZO524324:MZO524325 NJK524324:NJK524325 NTG524324:NTG524325 ODC524324:ODC524325 OMY524324:OMY524325 OWU524324:OWU524325 PGQ524324:PGQ524325 PQM524324:PQM524325 QAI524324:QAI524325 QKE524324:QKE524325 QUA524324:QUA524325 RDW524324:RDW524325 RNS524324:RNS524325 RXO524324:RXO524325 SHK524324:SHK524325 SRG524324:SRG524325 TBC524324:TBC524325 TKY524324:TKY524325 TUU524324:TUU524325 UEQ524324:UEQ524325 UOM524324:UOM524325 UYI524324:UYI524325 VIE524324:VIE524325 VSA524324:VSA524325 WBW524324:WBW524325 WLS524324:WLS524325 WVO524324:WVO524325 G589860:G589861 JC589860:JC589861 SY589860:SY589861 ACU589860:ACU589861 AMQ589860:AMQ589861 AWM589860:AWM589861 BGI589860:BGI589861 BQE589860:BQE589861 CAA589860:CAA589861 CJW589860:CJW589861 CTS589860:CTS589861 DDO589860:DDO589861 DNK589860:DNK589861 DXG589860:DXG589861 EHC589860:EHC589861 EQY589860:EQY589861 FAU589860:FAU589861 FKQ589860:FKQ589861 FUM589860:FUM589861 GEI589860:GEI589861 GOE589860:GOE589861 GYA589860:GYA589861 HHW589860:HHW589861 HRS589860:HRS589861 IBO589860:IBO589861 ILK589860:ILK589861 IVG589860:IVG589861 JFC589860:JFC589861 JOY589860:JOY589861 JYU589860:JYU589861 KIQ589860:KIQ589861 KSM589860:KSM589861 LCI589860:LCI589861 LME589860:LME589861 LWA589860:LWA589861 MFW589860:MFW589861 MPS589860:MPS589861 MZO589860:MZO589861 NJK589860:NJK589861 NTG589860:NTG589861 ODC589860:ODC589861 OMY589860:OMY589861 OWU589860:OWU589861 PGQ589860:PGQ589861 PQM589860:PQM589861 QAI589860:QAI589861 QKE589860:QKE589861 QUA589860:QUA589861 RDW589860:RDW589861 RNS589860:RNS589861 RXO589860:RXO589861 SHK589860:SHK589861 SRG589860:SRG589861 TBC589860:TBC589861 TKY589860:TKY589861 TUU589860:TUU589861 UEQ589860:UEQ589861 UOM589860:UOM589861 UYI589860:UYI589861 VIE589860:VIE589861 VSA589860:VSA589861 WBW589860:WBW589861 WLS589860:WLS589861 WVO589860:WVO589861 G655396:G655397 JC655396:JC655397 SY655396:SY655397 ACU655396:ACU655397 AMQ655396:AMQ655397 AWM655396:AWM655397 BGI655396:BGI655397 BQE655396:BQE655397 CAA655396:CAA655397 CJW655396:CJW655397 CTS655396:CTS655397 DDO655396:DDO655397 DNK655396:DNK655397 DXG655396:DXG655397 EHC655396:EHC655397 EQY655396:EQY655397 FAU655396:FAU655397 FKQ655396:FKQ655397 FUM655396:FUM655397 GEI655396:GEI655397 GOE655396:GOE655397 GYA655396:GYA655397 HHW655396:HHW655397 HRS655396:HRS655397 IBO655396:IBO655397 ILK655396:ILK655397 IVG655396:IVG655397 JFC655396:JFC655397 JOY655396:JOY655397 JYU655396:JYU655397 KIQ655396:KIQ655397 KSM655396:KSM655397 LCI655396:LCI655397 LME655396:LME655397 LWA655396:LWA655397 MFW655396:MFW655397 MPS655396:MPS655397 MZO655396:MZO655397 NJK655396:NJK655397 NTG655396:NTG655397 ODC655396:ODC655397 OMY655396:OMY655397 OWU655396:OWU655397 PGQ655396:PGQ655397 PQM655396:PQM655397 QAI655396:QAI655397 QKE655396:QKE655397 QUA655396:QUA655397 RDW655396:RDW655397 RNS655396:RNS655397 RXO655396:RXO655397 SHK655396:SHK655397 SRG655396:SRG655397 TBC655396:TBC655397 TKY655396:TKY655397 TUU655396:TUU655397 UEQ655396:UEQ655397 UOM655396:UOM655397 UYI655396:UYI655397 VIE655396:VIE655397 VSA655396:VSA655397 WBW655396:WBW655397 WLS655396:WLS655397 WVO655396:WVO655397 G720932:G720933 JC720932:JC720933 SY720932:SY720933 ACU720932:ACU720933 AMQ720932:AMQ720933 AWM720932:AWM720933 BGI720932:BGI720933 BQE720932:BQE720933 CAA720932:CAA720933 CJW720932:CJW720933 CTS720932:CTS720933 DDO720932:DDO720933 DNK720932:DNK720933 DXG720932:DXG720933 EHC720932:EHC720933 EQY720932:EQY720933 FAU720932:FAU720933 FKQ720932:FKQ720933 FUM720932:FUM720933 GEI720932:GEI720933 GOE720932:GOE720933 GYA720932:GYA720933 HHW720932:HHW720933 HRS720932:HRS720933 IBO720932:IBO720933 ILK720932:ILK720933 IVG720932:IVG720933 JFC720932:JFC720933 JOY720932:JOY720933 JYU720932:JYU720933 KIQ720932:KIQ720933 KSM720932:KSM720933 LCI720932:LCI720933 LME720932:LME720933 LWA720932:LWA720933 MFW720932:MFW720933 MPS720932:MPS720933 MZO720932:MZO720933 NJK720932:NJK720933 NTG720932:NTG720933 ODC720932:ODC720933 OMY720932:OMY720933 OWU720932:OWU720933 PGQ720932:PGQ720933 PQM720932:PQM720933 QAI720932:QAI720933 QKE720932:QKE720933 QUA720932:QUA720933 RDW720932:RDW720933 RNS720932:RNS720933 RXO720932:RXO720933 SHK720932:SHK720933 SRG720932:SRG720933 TBC720932:TBC720933 TKY720932:TKY720933 TUU720932:TUU720933 UEQ720932:UEQ720933 UOM720932:UOM720933 UYI720932:UYI720933 VIE720932:VIE720933 VSA720932:VSA720933 WBW720932:WBW720933 WLS720932:WLS720933 WVO720932:WVO720933 G786468:G786469 JC786468:JC786469 SY786468:SY786469 ACU786468:ACU786469 AMQ786468:AMQ786469 AWM786468:AWM786469 BGI786468:BGI786469 BQE786468:BQE786469 CAA786468:CAA786469 CJW786468:CJW786469 CTS786468:CTS786469 DDO786468:DDO786469 DNK786468:DNK786469 DXG786468:DXG786469 EHC786468:EHC786469 EQY786468:EQY786469 FAU786468:FAU786469 FKQ786468:FKQ786469 FUM786468:FUM786469 GEI786468:GEI786469 GOE786468:GOE786469 GYA786468:GYA786469 HHW786468:HHW786469 HRS786468:HRS786469 IBO786468:IBO786469 ILK786468:ILK786469 IVG786468:IVG786469 JFC786468:JFC786469 JOY786468:JOY786469 JYU786468:JYU786469 KIQ786468:KIQ786469 KSM786468:KSM786469 LCI786468:LCI786469 LME786468:LME786469 LWA786468:LWA786469 MFW786468:MFW786469 MPS786468:MPS786469 MZO786468:MZO786469 NJK786468:NJK786469 NTG786468:NTG786469 ODC786468:ODC786469 OMY786468:OMY786469 OWU786468:OWU786469 PGQ786468:PGQ786469 PQM786468:PQM786469 QAI786468:QAI786469 QKE786468:QKE786469 QUA786468:QUA786469 RDW786468:RDW786469 RNS786468:RNS786469 RXO786468:RXO786469 SHK786468:SHK786469 SRG786468:SRG786469 TBC786468:TBC786469 TKY786468:TKY786469 TUU786468:TUU786469 UEQ786468:UEQ786469 UOM786468:UOM786469 UYI786468:UYI786469 VIE786468:VIE786469 VSA786468:VSA786469 WBW786468:WBW786469 WLS786468:WLS786469 WVO786468:WVO786469 G852004:G852005 JC852004:JC852005 SY852004:SY852005 ACU852004:ACU852005 AMQ852004:AMQ852005 AWM852004:AWM852005 BGI852004:BGI852005 BQE852004:BQE852005 CAA852004:CAA852005 CJW852004:CJW852005 CTS852004:CTS852005 DDO852004:DDO852005 DNK852004:DNK852005 DXG852004:DXG852005 EHC852004:EHC852005 EQY852004:EQY852005 FAU852004:FAU852005 FKQ852004:FKQ852005 FUM852004:FUM852005 GEI852004:GEI852005 GOE852004:GOE852005 GYA852004:GYA852005 HHW852004:HHW852005 HRS852004:HRS852005 IBO852004:IBO852005 ILK852004:ILK852005 IVG852004:IVG852005 JFC852004:JFC852005 JOY852004:JOY852005 JYU852004:JYU852005 KIQ852004:KIQ852005 KSM852004:KSM852005 LCI852004:LCI852005 LME852004:LME852005 LWA852004:LWA852005 MFW852004:MFW852005 MPS852004:MPS852005 MZO852004:MZO852005 NJK852004:NJK852005 NTG852004:NTG852005 ODC852004:ODC852005 OMY852004:OMY852005 OWU852004:OWU852005 PGQ852004:PGQ852005 PQM852004:PQM852005 QAI852004:QAI852005 QKE852004:QKE852005 QUA852004:QUA852005 RDW852004:RDW852005 RNS852004:RNS852005 RXO852004:RXO852005 SHK852004:SHK852005 SRG852004:SRG852005 TBC852004:TBC852005 TKY852004:TKY852005 TUU852004:TUU852005 UEQ852004:UEQ852005 UOM852004:UOM852005 UYI852004:UYI852005 VIE852004:VIE852005 VSA852004:VSA852005 WBW852004:WBW852005 WLS852004:WLS852005 WVO852004:WVO852005 G917540:G917541 JC917540:JC917541 SY917540:SY917541 ACU917540:ACU917541 AMQ917540:AMQ917541 AWM917540:AWM917541 BGI917540:BGI917541 BQE917540:BQE917541 CAA917540:CAA917541 CJW917540:CJW917541 CTS917540:CTS917541 DDO917540:DDO917541 DNK917540:DNK917541 DXG917540:DXG917541 EHC917540:EHC917541 EQY917540:EQY917541 FAU917540:FAU917541 FKQ917540:FKQ917541 FUM917540:FUM917541 GEI917540:GEI917541 GOE917540:GOE917541 GYA917540:GYA917541 HHW917540:HHW917541 HRS917540:HRS917541 IBO917540:IBO917541 ILK917540:ILK917541 IVG917540:IVG917541 JFC917540:JFC917541 JOY917540:JOY917541 JYU917540:JYU917541 KIQ917540:KIQ917541 KSM917540:KSM917541 LCI917540:LCI917541 LME917540:LME917541 LWA917540:LWA917541 MFW917540:MFW917541 MPS917540:MPS917541 MZO917540:MZO917541 NJK917540:NJK917541 NTG917540:NTG917541 ODC917540:ODC917541 OMY917540:OMY917541 OWU917540:OWU917541 PGQ917540:PGQ917541 PQM917540:PQM917541 QAI917540:QAI917541 QKE917540:QKE917541 QUA917540:QUA917541 RDW917540:RDW917541 RNS917540:RNS917541 RXO917540:RXO917541 SHK917540:SHK917541 SRG917540:SRG917541 TBC917540:TBC917541 TKY917540:TKY917541 TUU917540:TUU917541 UEQ917540:UEQ917541 UOM917540:UOM917541 UYI917540:UYI917541 VIE917540:VIE917541 VSA917540:VSA917541 WBW917540:WBW917541 WLS917540:WLS917541 WVO917540:WVO917541 G983076:G983077 JC983076:JC983077 SY983076:SY983077 ACU983076:ACU983077 AMQ983076:AMQ983077 AWM983076:AWM983077 BGI983076:BGI983077 BQE983076:BQE983077 CAA983076:CAA983077 CJW983076:CJW983077 CTS983076:CTS983077 DDO983076:DDO983077 DNK983076:DNK983077 DXG983076:DXG983077 EHC983076:EHC983077 EQY983076:EQY983077 FAU983076:FAU983077 FKQ983076:FKQ983077 FUM983076:FUM983077 GEI983076:GEI983077 GOE983076:GOE983077 GYA983076:GYA983077 HHW983076:HHW983077 HRS983076:HRS983077 IBO983076:IBO983077 ILK983076:ILK983077 IVG983076:IVG983077 JFC983076:JFC983077 JOY983076:JOY983077 JYU983076:JYU983077 KIQ983076:KIQ983077 KSM983076:KSM983077 LCI983076:LCI983077 LME983076:LME983077 LWA983076:LWA983077 MFW983076:MFW983077 MPS983076:MPS983077 MZO983076:MZO983077 NJK983076:NJK983077 NTG983076:NTG983077 ODC983076:ODC983077 OMY983076:OMY983077 OWU983076:OWU983077 PGQ983076:PGQ983077 PQM983076:PQM983077 QAI983076:QAI983077 QKE983076:QKE983077 QUA983076:QUA983077 RDW983076:RDW983077 RNS983076:RNS983077 RXO983076:RXO983077 SHK983076:SHK983077 SRG983076:SRG983077 TBC983076:TBC983077 TKY983076:TKY983077 TUU983076:TUU983077 UEQ983076:UEQ983077 UOM983076:UOM983077 UYI983076:UYI983077 VIE983076:VIE983077 VSA983076:VSA983077 WBW983076:WBW983077 WLS983076:WLS983077 WVO983076:WVO983077 G37 JC37 SY37 ACU37 AMQ37 AWM37 BGI37 BQE37 CAA37 CJW37 CTS37 DDO37 DNK37 DXG37 EHC37 EQY37 FAU37 FKQ37 FUM37 GEI37 GOE37 GYA37 HHW37 HRS37 IBO37 ILK37 IVG37 JFC37 JOY37 JYU37 KIQ37 KSM37 LCI37 LME37 LWA37 MFW37 MPS37 MZO37 NJK37 NTG37 ODC37 OMY37 OWU37 PGQ37 PQM37 QAI37 QKE37 QUA37 RDW37 RNS37 RXO37 SHK37 SRG37 TBC37 TKY37 TUU37 UEQ37 UOM37 UYI37 VIE37 VSA37 WBW37 WLS37 WVO37 G65567 JC65567 SY65567 ACU65567 AMQ65567 AWM65567 BGI65567 BQE65567 CAA65567 CJW65567 CTS65567 DDO65567 DNK65567 DXG65567 EHC65567 EQY65567 FAU65567 FKQ65567 FUM65567 GEI65567 GOE65567 GYA65567 HHW65567 HRS65567 IBO65567 ILK65567 IVG65567 JFC65567 JOY65567 JYU65567 KIQ65567 KSM65567 LCI65567 LME65567 LWA65567 MFW65567 MPS65567 MZO65567 NJK65567 NTG65567 ODC65567 OMY65567 OWU65567 PGQ65567 PQM65567 QAI65567 QKE65567 QUA65567 RDW65567 RNS65567 RXO65567 SHK65567 SRG65567 TBC65567 TKY65567 TUU65567 UEQ65567 UOM65567 UYI65567 VIE65567 VSA65567 WBW65567 WLS65567 WVO65567 G131103 JC131103 SY131103 ACU131103 AMQ131103 AWM131103 BGI131103 BQE131103 CAA131103 CJW131103 CTS131103 DDO131103 DNK131103 DXG131103 EHC131103 EQY131103 FAU131103 FKQ131103 FUM131103 GEI131103 GOE131103 GYA131103 HHW131103 HRS131103 IBO131103 ILK131103 IVG131103 JFC131103 JOY131103 JYU131103 KIQ131103 KSM131103 LCI131103 LME131103 LWA131103 MFW131103 MPS131103 MZO131103 NJK131103 NTG131103 ODC131103 OMY131103 OWU131103 PGQ131103 PQM131103 QAI131103 QKE131103 QUA131103 RDW131103 RNS131103 RXO131103 SHK131103 SRG131103 TBC131103 TKY131103 TUU131103 UEQ131103 UOM131103 UYI131103 VIE131103 VSA131103 WBW131103 WLS131103 WVO131103 G196639 JC196639 SY196639 ACU196639 AMQ196639 AWM196639 BGI196639 BQE196639 CAA196639 CJW196639 CTS196639 DDO196639 DNK196639 DXG196639 EHC196639 EQY196639 FAU196639 FKQ196639 FUM196639 GEI196639 GOE196639 GYA196639 HHW196639 HRS196639 IBO196639 ILK196639 IVG196639 JFC196639 JOY196639 JYU196639 KIQ196639 KSM196639 LCI196639 LME196639 LWA196639 MFW196639 MPS196639 MZO196639 NJK196639 NTG196639 ODC196639 OMY196639 OWU196639 PGQ196639 PQM196639 QAI196639 QKE196639 QUA196639 RDW196639 RNS196639 RXO196639 SHK196639 SRG196639 TBC196639 TKY196639 TUU196639 UEQ196639 UOM196639 UYI196639 VIE196639 VSA196639 WBW196639 WLS196639 WVO196639 G262175 JC262175 SY262175 ACU262175 AMQ262175 AWM262175 BGI262175 BQE262175 CAA262175 CJW262175 CTS262175 DDO262175 DNK262175 DXG262175 EHC262175 EQY262175 FAU262175 FKQ262175 FUM262175 GEI262175 GOE262175 GYA262175 HHW262175 HRS262175 IBO262175 ILK262175 IVG262175 JFC262175 JOY262175 JYU262175 KIQ262175 KSM262175 LCI262175 LME262175 LWA262175 MFW262175 MPS262175 MZO262175 NJK262175 NTG262175 ODC262175 OMY262175 OWU262175 PGQ262175 PQM262175 QAI262175 QKE262175 QUA262175 RDW262175 RNS262175 RXO262175 SHK262175 SRG262175 TBC262175 TKY262175 TUU262175 UEQ262175 UOM262175 UYI262175 VIE262175 VSA262175 WBW262175 WLS262175 WVO262175 G327711 JC327711 SY327711 ACU327711 AMQ327711 AWM327711 BGI327711 BQE327711 CAA327711 CJW327711 CTS327711 DDO327711 DNK327711 DXG327711 EHC327711 EQY327711 FAU327711 FKQ327711 FUM327711 GEI327711 GOE327711 GYA327711 HHW327711 HRS327711 IBO327711 ILK327711 IVG327711 JFC327711 JOY327711 JYU327711 KIQ327711 KSM327711 LCI327711 LME327711 LWA327711 MFW327711 MPS327711 MZO327711 NJK327711 NTG327711 ODC327711 OMY327711 OWU327711 PGQ327711 PQM327711 QAI327711 QKE327711 QUA327711 RDW327711 RNS327711 RXO327711 SHK327711 SRG327711 TBC327711 TKY327711 TUU327711 UEQ327711 UOM327711 UYI327711 VIE327711 VSA327711 WBW327711 WLS327711 WVO327711 G393247 JC393247 SY393247 ACU393247 AMQ393247 AWM393247 BGI393247 BQE393247 CAA393247 CJW393247 CTS393247 DDO393247 DNK393247 DXG393247 EHC393247 EQY393247 FAU393247 FKQ393247 FUM393247 GEI393247 GOE393247 GYA393247 HHW393247 HRS393247 IBO393247 ILK393247 IVG393247 JFC393247 JOY393247 JYU393247 KIQ393247 KSM393247 LCI393247 LME393247 LWA393247 MFW393247 MPS393247 MZO393247 NJK393247 NTG393247 ODC393247 OMY393247 OWU393247 PGQ393247 PQM393247 QAI393247 QKE393247 QUA393247 RDW393247 RNS393247 RXO393247 SHK393247 SRG393247 TBC393247 TKY393247 TUU393247 UEQ393247 UOM393247 UYI393247 VIE393247 VSA393247 WBW393247 WLS393247 WVO393247 G458783 JC458783 SY458783 ACU458783 AMQ458783 AWM458783 BGI458783 BQE458783 CAA458783 CJW458783 CTS458783 DDO458783 DNK458783 DXG458783 EHC458783 EQY458783 FAU458783 FKQ458783 FUM458783 GEI458783 GOE458783 GYA458783 HHW458783 HRS458783 IBO458783 ILK458783 IVG458783 JFC458783 JOY458783 JYU458783 KIQ458783 KSM458783 LCI458783 LME458783 LWA458783 MFW458783 MPS458783 MZO458783 NJK458783 NTG458783 ODC458783 OMY458783 OWU458783 PGQ458783 PQM458783 QAI458783 QKE458783 QUA458783 RDW458783 RNS458783 RXO458783 SHK458783 SRG458783 TBC458783 TKY458783 TUU458783 UEQ458783 UOM458783 UYI458783 VIE458783 VSA458783 WBW458783 WLS458783 WVO458783 G524319 JC524319 SY524319 ACU524319 AMQ524319 AWM524319 BGI524319 BQE524319 CAA524319 CJW524319 CTS524319 DDO524319 DNK524319 DXG524319 EHC524319 EQY524319 FAU524319 FKQ524319 FUM524319 GEI524319 GOE524319 GYA524319 HHW524319 HRS524319 IBO524319 ILK524319 IVG524319 JFC524319 JOY524319 JYU524319 KIQ524319 KSM524319 LCI524319 LME524319 LWA524319 MFW524319 MPS524319 MZO524319 NJK524319 NTG524319 ODC524319 OMY524319 OWU524319 PGQ524319 PQM524319 QAI524319 QKE524319 QUA524319 RDW524319 RNS524319 RXO524319 SHK524319 SRG524319 TBC524319 TKY524319 TUU524319 UEQ524319 UOM524319 UYI524319 VIE524319 VSA524319 WBW524319 WLS524319 WVO524319 G589855 JC589855 SY589855 ACU589855 AMQ589855 AWM589855 BGI589855 BQE589855 CAA589855 CJW589855 CTS589855 DDO589855 DNK589855 DXG589855 EHC589855 EQY589855 FAU589855 FKQ589855 FUM589855 GEI589855 GOE589855 GYA589855 HHW589855 HRS589855 IBO589855 ILK589855 IVG589855 JFC589855 JOY589855 JYU589855 KIQ589855 KSM589855 LCI589855 LME589855 LWA589855 MFW589855 MPS589855 MZO589855 NJK589855 NTG589855 ODC589855 OMY589855 OWU589855 PGQ589855 PQM589855 QAI589855 QKE589855 QUA589855 RDW589855 RNS589855 RXO589855 SHK589855 SRG589855 TBC589855 TKY589855 TUU589855 UEQ589855 UOM589855 UYI589855 VIE589855 VSA589855 WBW589855 WLS589855 WVO589855 G655391 JC655391 SY655391 ACU655391 AMQ655391 AWM655391 BGI655391 BQE655391 CAA655391 CJW655391 CTS655391 DDO655391 DNK655391 DXG655391 EHC655391 EQY655391 FAU655391 FKQ655391 FUM655391 GEI655391 GOE655391 GYA655391 HHW655391 HRS655391 IBO655391 ILK655391 IVG655391 JFC655391 JOY655391 JYU655391 KIQ655391 KSM655391 LCI655391 LME655391 LWA655391 MFW655391 MPS655391 MZO655391 NJK655391 NTG655391 ODC655391 OMY655391 OWU655391 PGQ655391 PQM655391 QAI655391 QKE655391 QUA655391 RDW655391 RNS655391 RXO655391 SHK655391 SRG655391 TBC655391 TKY655391 TUU655391 UEQ655391 UOM655391 UYI655391 VIE655391 VSA655391 WBW655391 WLS655391 WVO655391 G720927 JC720927 SY720927 ACU720927 AMQ720927 AWM720927 BGI720927 BQE720927 CAA720927 CJW720927 CTS720927 DDO720927 DNK720927 DXG720927 EHC720927 EQY720927 FAU720927 FKQ720927 FUM720927 GEI720927 GOE720927 GYA720927 HHW720927 HRS720927 IBO720927 ILK720927 IVG720927 JFC720927 JOY720927 JYU720927 KIQ720927 KSM720927 LCI720927 LME720927 LWA720927 MFW720927 MPS720927 MZO720927 NJK720927 NTG720927 ODC720927 OMY720927 OWU720927 PGQ720927 PQM720927 QAI720927 QKE720927 QUA720927 RDW720927 RNS720927 RXO720927 SHK720927 SRG720927 TBC720927 TKY720927 TUU720927 UEQ720927 UOM720927 UYI720927 VIE720927 VSA720927 WBW720927 WLS720927 WVO720927 G786463 JC786463 SY786463 ACU786463 AMQ786463 AWM786463 BGI786463 BQE786463 CAA786463 CJW786463 CTS786463 DDO786463 DNK786463 DXG786463 EHC786463 EQY786463 FAU786463 FKQ786463 FUM786463 GEI786463 GOE786463 GYA786463 HHW786463 HRS786463 IBO786463 ILK786463 IVG786463 JFC786463 JOY786463 JYU786463 KIQ786463 KSM786463 LCI786463 LME786463 LWA786463 MFW786463 MPS786463 MZO786463 NJK786463 NTG786463 ODC786463 OMY786463 OWU786463 PGQ786463 PQM786463 QAI786463 QKE786463 QUA786463 RDW786463 RNS786463 RXO786463 SHK786463 SRG786463 TBC786463 TKY786463 TUU786463 UEQ786463 UOM786463 UYI786463 VIE786463 VSA786463 WBW786463 WLS786463 WVO786463 G851999 JC851999 SY851999 ACU851999 AMQ851999 AWM851999 BGI851999 BQE851999 CAA851999 CJW851999 CTS851999 DDO851999 DNK851999 DXG851999 EHC851999 EQY851999 FAU851999 FKQ851999 FUM851999 GEI851999 GOE851999 GYA851999 HHW851999 HRS851999 IBO851999 ILK851999 IVG851999 JFC851999 JOY851999 JYU851999 KIQ851999 KSM851999 LCI851999 LME851999 LWA851999 MFW851999 MPS851999 MZO851999 NJK851999 NTG851999 ODC851999 OMY851999 OWU851999 PGQ851999 PQM851999 QAI851999 QKE851999 QUA851999 RDW851999 RNS851999 RXO851999 SHK851999 SRG851999 TBC851999 TKY851999 TUU851999 UEQ851999 UOM851999 UYI851999 VIE851999 VSA851999 WBW851999 WLS851999 WVO851999 G917535 JC917535 SY917535 ACU917535 AMQ917535 AWM917535 BGI917535 BQE917535 CAA917535 CJW917535 CTS917535 DDO917535 DNK917535 DXG917535 EHC917535 EQY917535 FAU917535 FKQ917535 FUM917535 GEI917535 GOE917535 GYA917535 HHW917535 HRS917535 IBO917535 ILK917535 IVG917535 JFC917535 JOY917535 JYU917535 KIQ917535 KSM917535 LCI917535 LME917535 LWA917535 MFW917535 MPS917535 MZO917535 NJK917535 NTG917535 ODC917535 OMY917535 OWU917535 PGQ917535 PQM917535 QAI917535 QKE917535 QUA917535 RDW917535 RNS917535 RXO917535 SHK917535 SRG917535 TBC917535 TKY917535 TUU917535 UEQ917535 UOM917535 UYI917535 VIE917535 VSA917535 WBW917535 WLS917535 WVO917535 G983071 JC983071 SY983071 ACU983071 AMQ983071 AWM983071 BGI983071 BQE983071 CAA983071 CJW983071 CTS983071 DDO983071 DNK983071 DXG983071 EHC983071 EQY983071 FAU983071 FKQ983071 FUM983071 GEI983071 GOE983071 GYA983071 HHW983071 HRS983071 IBO983071 ILK983071 IVG983071 JFC983071 JOY983071 JYU983071 KIQ983071 KSM983071 LCI983071 LME983071 LWA983071 MFW983071 MPS983071 MZO983071 NJK983071 NTG983071 ODC983071 OMY983071 OWU983071 PGQ983071 PQM983071 QAI983071 QKE983071 QUA983071 RDW983071 RNS983071 RXO983071 SHK983071 SRG983071 TBC983071 TKY983071 TUU983071 UEQ983071 UOM983071 UYI983071 VIE983071 VSA983071 WBW983071 WLS983071 WVO983071 G45 JC34:JC35 SY34:SY35 ACU34:ACU35 AMQ34:AMQ35 AWM34:AWM35 BGI34:BGI35 BQE34:BQE35 CAA34:CAA35 CJW34:CJW35 CTS34:CTS35 DDO34:DDO35 DNK34:DNK35 DXG34:DXG35 EHC34:EHC35 EQY34:EQY35 FAU34:FAU35 FKQ34:FKQ35 FUM34:FUM35 GEI34:GEI35 GOE34:GOE35 GYA34:GYA35 HHW34:HHW35 HRS34:HRS35 IBO34:IBO35 ILK34:ILK35 IVG34:IVG35 JFC34:JFC35 JOY34:JOY35 JYU34:JYU35 KIQ34:KIQ35 KSM34:KSM35 LCI34:LCI35 LME34:LME35 LWA34:LWA35 MFW34:MFW35 MPS34:MPS35 MZO34:MZO35 NJK34:NJK35 NTG34:NTG35 ODC34:ODC35 OMY34:OMY35 OWU34:OWU35 PGQ34:PGQ35 PQM34:PQM35 QAI34:QAI35 QKE34:QKE35 QUA34:QUA35 RDW34:RDW35 RNS34:RNS35 RXO34:RXO35 SHK34:SHK35 SRG34:SRG35 TBC34:TBC35 TKY34:TKY35 TUU34:TUU35 UEQ34:UEQ35 UOM34:UOM35 UYI34:UYI35 VIE34:VIE35 VSA34:VSA35 WBW34:WBW35 WLS34:WLS35 WVO34:WVO35 G65563:G65564 JC65563:JC65564 SY65563:SY65564 ACU65563:ACU65564 AMQ65563:AMQ65564 AWM65563:AWM65564 BGI65563:BGI65564 BQE65563:BQE65564 CAA65563:CAA65564 CJW65563:CJW65564 CTS65563:CTS65564 DDO65563:DDO65564 DNK65563:DNK65564 DXG65563:DXG65564 EHC65563:EHC65564 EQY65563:EQY65564 FAU65563:FAU65564 FKQ65563:FKQ65564 FUM65563:FUM65564 GEI65563:GEI65564 GOE65563:GOE65564 GYA65563:GYA65564 HHW65563:HHW65564 HRS65563:HRS65564 IBO65563:IBO65564 ILK65563:ILK65564 IVG65563:IVG65564 JFC65563:JFC65564 JOY65563:JOY65564 JYU65563:JYU65564 KIQ65563:KIQ65564 KSM65563:KSM65564 LCI65563:LCI65564 LME65563:LME65564 LWA65563:LWA65564 MFW65563:MFW65564 MPS65563:MPS65564 MZO65563:MZO65564 NJK65563:NJK65564 NTG65563:NTG65564 ODC65563:ODC65564 OMY65563:OMY65564 OWU65563:OWU65564 PGQ65563:PGQ65564 PQM65563:PQM65564 QAI65563:QAI65564 QKE65563:QKE65564 QUA65563:QUA65564 RDW65563:RDW65564 RNS65563:RNS65564 RXO65563:RXO65564 SHK65563:SHK65564 SRG65563:SRG65564 TBC65563:TBC65564 TKY65563:TKY65564 TUU65563:TUU65564 UEQ65563:UEQ65564 UOM65563:UOM65564 UYI65563:UYI65564 VIE65563:VIE65564 VSA65563:VSA65564 WBW65563:WBW65564 WLS65563:WLS65564 WVO65563:WVO65564 G131099:G131100 JC131099:JC131100 SY131099:SY131100 ACU131099:ACU131100 AMQ131099:AMQ131100 AWM131099:AWM131100 BGI131099:BGI131100 BQE131099:BQE131100 CAA131099:CAA131100 CJW131099:CJW131100 CTS131099:CTS131100 DDO131099:DDO131100 DNK131099:DNK131100 DXG131099:DXG131100 EHC131099:EHC131100 EQY131099:EQY131100 FAU131099:FAU131100 FKQ131099:FKQ131100 FUM131099:FUM131100 GEI131099:GEI131100 GOE131099:GOE131100 GYA131099:GYA131100 HHW131099:HHW131100 HRS131099:HRS131100 IBO131099:IBO131100 ILK131099:ILK131100 IVG131099:IVG131100 JFC131099:JFC131100 JOY131099:JOY131100 JYU131099:JYU131100 KIQ131099:KIQ131100 KSM131099:KSM131100 LCI131099:LCI131100 LME131099:LME131100 LWA131099:LWA131100 MFW131099:MFW131100 MPS131099:MPS131100 MZO131099:MZO131100 NJK131099:NJK131100 NTG131099:NTG131100 ODC131099:ODC131100 OMY131099:OMY131100 OWU131099:OWU131100 PGQ131099:PGQ131100 PQM131099:PQM131100 QAI131099:QAI131100 QKE131099:QKE131100 QUA131099:QUA131100 RDW131099:RDW131100 RNS131099:RNS131100 RXO131099:RXO131100 SHK131099:SHK131100 SRG131099:SRG131100 TBC131099:TBC131100 TKY131099:TKY131100 TUU131099:TUU131100 UEQ131099:UEQ131100 UOM131099:UOM131100 UYI131099:UYI131100 VIE131099:VIE131100 VSA131099:VSA131100 WBW131099:WBW131100 WLS131099:WLS131100 WVO131099:WVO131100 G196635:G196636 JC196635:JC196636 SY196635:SY196636 ACU196635:ACU196636 AMQ196635:AMQ196636 AWM196635:AWM196636 BGI196635:BGI196636 BQE196635:BQE196636 CAA196635:CAA196636 CJW196635:CJW196636 CTS196635:CTS196636 DDO196635:DDO196636 DNK196635:DNK196636 DXG196635:DXG196636 EHC196635:EHC196636 EQY196635:EQY196636 FAU196635:FAU196636 FKQ196635:FKQ196636 FUM196635:FUM196636 GEI196635:GEI196636 GOE196635:GOE196636 GYA196635:GYA196636 HHW196635:HHW196636 HRS196635:HRS196636 IBO196635:IBO196636 ILK196635:ILK196636 IVG196635:IVG196636 JFC196635:JFC196636 JOY196635:JOY196636 JYU196635:JYU196636 KIQ196635:KIQ196636 KSM196635:KSM196636 LCI196635:LCI196636 LME196635:LME196636 LWA196635:LWA196636 MFW196635:MFW196636 MPS196635:MPS196636 MZO196635:MZO196636 NJK196635:NJK196636 NTG196635:NTG196636 ODC196635:ODC196636 OMY196635:OMY196636 OWU196635:OWU196636 PGQ196635:PGQ196636 PQM196635:PQM196636 QAI196635:QAI196636 QKE196635:QKE196636 QUA196635:QUA196636 RDW196635:RDW196636 RNS196635:RNS196636 RXO196635:RXO196636 SHK196635:SHK196636 SRG196635:SRG196636 TBC196635:TBC196636 TKY196635:TKY196636 TUU196635:TUU196636 UEQ196635:UEQ196636 UOM196635:UOM196636 UYI196635:UYI196636 VIE196635:VIE196636 VSA196635:VSA196636 WBW196635:WBW196636 WLS196635:WLS196636 WVO196635:WVO196636 G262171:G262172 JC262171:JC262172 SY262171:SY262172 ACU262171:ACU262172 AMQ262171:AMQ262172 AWM262171:AWM262172 BGI262171:BGI262172 BQE262171:BQE262172 CAA262171:CAA262172 CJW262171:CJW262172 CTS262171:CTS262172 DDO262171:DDO262172 DNK262171:DNK262172 DXG262171:DXG262172 EHC262171:EHC262172 EQY262171:EQY262172 FAU262171:FAU262172 FKQ262171:FKQ262172 FUM262171:FUM262172 GEI262171:GEI262172 GOE262171:GOE262172 GYA262171:GYA262172 HHW262171:HHW262172 HRS262171:HRS262172 IBO262171:IBO262172 ILK262171:ILK262172 IVG262171:IVG262172 JFC262171:JFC262172 JOY262171:JOY262172 JYU262171:JYU262172 KIQ262171:KIQ262172 KSM262171:KSM262172 LCI262171:LCI262172 LME262171:LME262172 LWA262171:LWA262172 MFW262171:MFW262172 MPS262171:MPS262172 MZO262171:MZO262172 NJK262171:NJK262172 NTG262171:NTG262172 ODC262171:ODC262172 OMY262171:OMY262172 OWU262171:OWU262172 PGQ262171:PGQ262172 PQM262171:PQM262172 QAI262171:QAI262172 QKE262171:QKE262172 QUA262171:QUA262172 RDW262171:RDW262172 RNS262171:RNS262172 RXO262171:RXO262172 SHK262171:SHK262172 SRG262171:SRG262172 TBC262171:TBC262172 TKY262171:TKY262172 TUU262171:TUU262172 UEQ262171:UEQ262172 UOM262171:UOM262172 UYI262171:UYI262172 VIE262171:VIE262172 VSA262171:VSA262172 WBW262171:WBW262172 WLS262171:WLS262172 WVO262171:WVO262172 G327707:G327708 JC327707:JC327708 SY327707:SY327708 ACU327707:ACU327708 AMQ327707:AMQ327708 AWM327707:AWM327708 BGI327707:BGI327708 BQE327707:BQE327708 CAA327707:CAA327708 CJW327707:CJW327708 CTS327707:CTS327708 DDO327707:DDO327708 DNK327707:DNK327708 DXG327707:DXG327708 EHC327707:EHC327708 EQY327707:EQY327708 FAU327707:FAU327708 FKQ327707:FKQ327708 FUM327707:FUM327708 GEI327707:GEI327708 GOE327707:GOE327708 GYA327707:GYA327708 HHW327707:HHW327708 HRS327707:HRS327708 IBO327707:IBO327708 ILK327707:ILK327708 IVG327707:IVG327708 JFC327707:JFC327708 JOY327707:JOY327708 JYU327707:JYU327708 KIQ327707:KIQ327708 KSM327707:KSM327708 LCI327707:LCI327708 LME327707:LME327708 LWA327707:LWA327708 MFW327707:MFW327708 MPS327707:MPS327708 MZO327707:MZO327708 NJK327707:NJK327708 NTG327707:NTG327708 ODC327707:ODC327708 OMY327707:OMY327708 OWU327707:OWU327708 PGQ327707:PGQ327708 PQM327707:PQM327708 QAI327707:QAI327708 QKE327707:QKE327708 QUA327707:QUA327708 RDW327707:RDW327708 RNS327707:RNS327708 RXO327707:RXO327708 SHK327707:SHK327708 SRG327707:SRG327708 TBC327707:TBC327708 TKY327707:TKY327708 TUU327707:TUU327708 UEQ327707:UEQ327708 UOM327707:UOM327708 UYI327707:UYI327708 VIE327707:VIE327708 VSA327707:VSA327708 WBW327707:WBW327708 WLS327707:WLS327708 WVO327707:WVO327708 G393243:G393244 JC393243:JC393244 SY393243:SY393244 ACU393243:ACU393244 AMQ393243:AMQ393244 AWM393243:AWM393244 BGI393243:BGI393244 BQE393243:BQE393244 CAA393243:CAA393244 CJW393243:CJW393244 CTS393243:CTS393244 DDO393243:DDO393244 DNK393243:DNK393244 DXG393243:DXG393244 EHC393243:EHC393244 EQY393243:EQY393244 FAU393243:FAU393244 FKQ393243:FKQ393244 FUM393243:FUM393244 GEI393243:GEI393244 GOE393243:GOE393244 GYA393243:GYA393244 HHW393243:HHW393244 HRS393243:HRS393244 IBO393243:IBO393244 ILK393243:ILK393244 IVG393243:IVG393244 JFC393243:JFC393244 JOY393243:JOY393244 JYU393243:JYU393244 KIQ393243:KIQ393244 KSM393243:KSM393244 LCI393243:LCI393244 LME393243:LME393244 LWA393243:LWA393244 MFW393243:MFW393244 MPS393243:MPS393244 MZO393243:MZO393244 NJK393243:NJK393244 NTG393243:NTG393244 ODC393243:ODC393244 OMY393243:OMY393244 OWU393243:OWU393244 PGQ393243:PGQ393244 PQM393243:PQM393244 QAI393243:QAI393244 QKE393243:QKE393244 QUA393243:QUA393244 RDW393243:RDW393244 RNS393243:RNS393244 RXO393243:RXO393244 SHK393243:SHK393244 SRG393243:SRG393244 TBC393243:TBC393244 TKY393243:TKY393244 TUU393243:TUU393244 UEQ393243:UEQ393244 UOM393243:UOM393244 UYI393243:UYI393244 VIE393243:VIE393244 VSA393243:VSA393244 WBW393243:WBW393244 WLS393243:WLS393244 WVO393243:WVO393244 G458779:G458780 JC458779:JC458780 SY458779:SY458780 ACU458779:ACU458780 AMQ458779:AMQ458780 AWM458779:AWM458780 BGI458779:BGI458780 BQE458779:BQE458780 CAA458779:CAA458780 CJW458779:CJW458780 CTS458779:CTS458780 DDO458779:DDO458780 DNK458779:DNK458780 DXG458779:DXG458780 EHC458779:EHC458780 EQY458779:EQY458780 FAU458779:FAU458780 FKQ458779:FKQ458780 FUM458779:FUM458780 GEI458779:GEI458780 GOE458779:GOE458780 GYA458779:GYA458780 HHW458779:HHW458780 HRS458779:HRS458780 IBO458779:IBO458780 ILK458779:ILK458780 IVG458779:IVG458780 JFC458779:JFC458780 JOY458779:JOY458780 JYU458779:JYU458780 KIQ458779:KIQ458780 KSM458779:KSM458780 LCI458779:LCI458780 LME458779:LME458780 LWA458779:LWA458780 MFW458779:MFW458780 MPS458779:MPS458780 MZO458779:MZO458780 NJK458779:NJK458780 NTG458779:NTG458780 ODC458779:ODC458780 OMY458779:OMY458780 OWU458779:OWU458780 PGQ458779:PGQ458780 PQM458779:PQM458780 QAI458779:QAI458780 QKE458779:QKE458780 QUA458779:QUA458780 RDW458779:RDW458780 RNS458779:RNS458780 RXO458779:RXO458780 SHK458779:SHK458780 SRG458779:SRG458780 TBC458779:TBC458780 TKY458779:TKY458780 TUU458779:TUU458780 UEQ458779:UEQ458780 UOM458779:UOM458780 UYI458779:UYI458780 VIE458779:VIE458780 VSA458779:VSA458780 WBW458779:WBW458780 WLS458779:WLS458780 WVO458779:WVO458780 G524315:G524316 JC524315:JC524316 SY524315:SY524316 ACU524315:ACU524316 AMQ524315:AMQ524316 AWM524315:AWM524316 BGI524315:BGI524316 BQE524315:BQE524316 CAA524315:CAA524316 CJW524315:CJW524316 CTS524315:CTS524316 DDO524315:DDO524316 DNK524315:DNK524316 DXG524315:DXG524316 EHC524315:EHC524316 EQY524315:EQY524316 FAU524315:FAU524316 FKQ524315:FKQ524316 FUM524315:FUM524316 GEI524315:GEI524316 GOE524315:GOE524316 GYA524315:GYA524316 HHW524315:HHW524316 HRS524315:HRS524316 IBO524315:IBO524316 ILK524315:ILK524316 IVG524315:IVG524316 JFC524315:JFC524316 JOY524315:JOY524316 JYU524315:JYU524316 KIQ524315:KIQ524316 KSM524315:KSM524316 LCI524315:LCI524316 LME524315:LME524316 LWA524315:LWA524316 MFW524315:MFW524316 MPS524315:MPS524316 MZO524315:MZO524316 NJK524315:NJK524316 NTG524315:NTG524316 ODC524315:ODC524316 OMY524315:OMY524316 OWU524315:OWU524316 PGQ524315:PGQ524316 PQM524315:PQM524316 QAI524315:QAI524316 QKE524315:QKE524316 QUA524315:QUA524316 RDW524315:RDW524316 RNS524315:RNS524316 RXO524315:RXO524316 SHK524315:SHK524316 SRG524315:SRG524316 TBC524315:TBC524316 TKY524315:TKY524316 TUU524315:TUU524316 UEQ524315:UEQ524316 UOM524315:UOM524316 UYI524315:UYI524316 VIE524315:VIE524316 VSA524315:VSA524316 WBW524315:WBW524316 WLS524315:WLS524316 WVO524315:WVO524316 G589851:G589852 JC589851:JC589852 SY589851:SY589852 ACU589851:ACU589852 AMQ589851:AMQ589852 AWM589851:AWM589852 BGI589851:BGI589852 BQE589851:BQE589852 CAA589851:CAA589852 CJW589851:CJW589852 CTS589851:CTS589852 DDO589851:DDO589852 DNK589851:DNK589852 DXG589851:DXG589852 EHC589851:EHC589852 EQY589851:EQY589852 FAU589851:FAU589852 FKQ589851:FKQ589852 FUM589851:FUM589852 GEI589851:GEI589852 GOE589851:GOE589852 GYA589851:GYA589852 HHW589851:HHW589852 HRS589851:HRS589852 IBO589851:IBO589852 ILK589851:ILK589852 IVG589851:IVG589852 JFC589851:JFC589852 JOY589851:JOY589852 JYU589851:JYU589852 KIQ589851:KIQ589852 KSM589851:KSM589852 LCI589851:LCI589852 LME589851:LME589852 LWA589851:LWA589852 MFW589851:MFW589852 MPS589851:MPS589852 MZO589851:MZO589852 NJK589851:NJK589852 NTG589851:NTG589852 ODC589851:ODC589852 OMY589851:OMY589852 OWU589851:OWU589852 PGQ589851:PGQ589852 PQM589851:PQM589852 QAI589851:QAI589852 QKE589851:QKE589852 QUA589851:QUA589852 RDW589851:RDW589852 RNS589851:RNS589852 RXO589851:RXO589852 SHK589851:SHK589852 SRG589851:SRG589852 TBC589851:TBC589852 TKY589851:TKY589852 TUU589851:TUU589852 UEQ589851:UEQ589852 UOM589851:UOM589852 UYI589851:UYI589852 VIE589851:VIE589852 VSA589851:VSA589852 WBW589851:WBW589852 WLS589851:WLS589852 WVO589851:WVO589852 G655387:G655388 JC655387:JC655388 SY655387:SY655388 ACU655387:ACU655388 AMQ655387:AMQ655388 AWM655387:AWM655388 BGI655387:BGI655388 BQE655387:BQE655388 CAA655387:CAA655388 CJW655387:CJW655388 CTS655387:CTS655388 DDO655387:DDO655388 DNK655387:DNK655388 DXG655387:DXG655388 EHC655387:EHC655388 EQY655387:EQY655388 FAU655387:FAU655388 FKQ655387:FKQ655388 FUM655387:FUM655388 GEI655387:GEI655388 GOE655387:GOE655388 GYA655387:GYA655388 HHW655387:HHW655388 HRS655387:HRS655388 IBO655387:IBO655388 ILK655387:ILK655388 IVG655387:IVG655388 JFC655387:JFC655388 JOY655387:JOY655388 JYU655387:JYU655388 KIQ655387:KIQ655388 KSM655387:KSM655388 LCI655387:LCI655388 LME655387:LME655388 LWA655387:LWA655388 MFW655387:MFW655388 MPS655387:MPS655388 MZO655387:MZO655388 NJK655387:NJK655388 NTG655387:NTG655388 ODC655387:ODC655388 OMY655387:OMY655388 OWU655387:OWU655388 PGQ655387:PGQ655388 PQM655387:PQM655388 QAI655387:QAI655388 QKE655387:QKE655388 QUA655387:QUA655388 RDW655387:RDW655388 RNS655387:RNS655388 RXO655387:RXO655388 SHK655387:SHK655388 SRG655387:SRG655388 TBC655387:TBC655388 TKY655387:TKY655388 TUU655387:TUU655388 UEQ655387:UEQ655388 UOM655387:UOM655388 UYI655387:UYI655388 VIE655387:VIE655388 VSA655387:VSA655388 WBW655387:WBW655388 WLS655387:WLS655388 WVO655387:WVO655388 G720923:G720924 JC720923:JC720924 SY720923:SY720924 ACU720923:ACU720924 AMQ720923:AMQ720924 AWM720923:AWM720924 BGI720923:BGI720924 BQE720923:BQE720924 CAA720923:CAA720924 CJW720923:CJW720924 CTS720923:CTS720924 DDO720923:DDO720924 DNK720923:DNK720924 DXG720923:DXG720924 EHC720923:EHC720924 EQY720923:EQY720924 FAU720923:FAU720924 FKQ720923:FKQ720924 FUM720923:FUM720924 GEI720923:GEI720924 GOE720923:GOE720924 GYA720923:GYA720924 HHW720923:HHW720924 HRS720923:HRS720924 IBO720923:IBO720924 ILK720923:ILK720924 IVG720923:IVG720924 JFC720923:JFC720924 JOY720923:JOY720924 JYU720923:JYU720924 KIQ720923:KIQ720924 KSM720923:KSM720924 LCI720923:LCI720924 LME720923:LME720924 LWA720923:LWA720924 MFW720923:MFW720924 MPS720923:MPS720924 MZO720923:MZO720924 NJK720923:NJK720924 NTG720923:NTG720924 ODC720923:ODC720924 OMY720923:OMY720924 OWU720923:OWU720924 PGQ720923:PGQ720924 PQM720923:PQM720924 QAI720923:QAI720924 QKE720923:QKE720924 QUA720923:QUA720924 RDW720923:RDW720924 RNS720923:RNS720924 RXO720923:RXO720924 SHK720923:SHK720924 SRG720923:SRG720924 TBC720923:TBC720924 TKY720923:TKY720924 TUU720923:TUU720924 UEQ720923:UEQ720924 UOM720923:UOM720924 UYI720923:UYI720924 VIE720923:VIE720924 VSA720923:VSA720924 WBW720923:WBW720924 WLS720923:WLS720924 WVO720923:WVO720924 G786459:G786460 JC786459:JC786460 SY786459:SY786460 ACU786459:ACU786460 AMQ786459:AMQ786460 AWM786459:AWM786460 BGI786459:BGI786460 BQE786459:BQE786460 CAA786459:CAA786460 CJW786459:CJW786460 CTS786459:CTS786460 DDO786459:DDO786460 DNK786459:DNK786460 DXG786459:DXG786460 EHC786459:EHC786460 EQY786459:EQY786460 FAU786459:FAU786460 FKQ786459:FKQ786460 FUM786459:FUM786460 GEI786459:GEI786460 GOE786459:GOE786460 GYA786459:GYA786460 HHW786459:HHW786460 HRS786459:HRS786460 IBO786459:IBO786460 ILK786459:ILK786460 IVG786459:IVG786460 JFC786459:JFC786460 JOY786459:JOY786460 JYU786459:JYU786460 KIQ786459:KIQ786460 KSM786459:KSM786460 LCI786459:LCI786460 LME786459:LME786460 LWA786459:LWA786460 MFW786459:MFW786460 MPS786459:MPS786460 MZO786459:MZO786460 NJK786459:NJK786460 NTG786459:NTG786460 ODC786459:ODC786460 OMY786459:OMY786460 OWU786459:OWU786460 PGQ786459:PGQ786460 PQM786459:PQM786460 QAI786459:QAI786460 QKE786459:QKE786460 QUA786459:QUA786460 RDW786459:RDW786460 RNS786459:RNS786460 RXO786459:RXO786460 SHK786459:SHK786460 SRG786459:SRG786460 TBC786459:TBC786460 TKY786459:TKY786460 TUU786459:TUU786460 UEQ786459:UEQ786460 UOM786459:UOM786460 UYI786459:UYI786460 VIE786459:VIE786460 VSA786459:VSA786460 WBW786459:WBW786460 WLS786459:WLS786460 WVO786459:WVO786460 G851995:G851996 JC851995:JC851996 SY851995:SY851996 ACU851995:ACU851996 AMQ851995:AMQ851996 AWM851995:AWM851996 BGI851995:BGI851996 BQE851995:BQE851996 CAA851995:CAA851996 CJW851995:CJW851996 CTS851995:CTS851996 DDO851995:DDO851996 DNK851995:DNK851996 DXG851995:DXG851996 EHC851995:EHC851996 EQY851995:EQY851996 FAU851995:FAU851996 FKQ851995:FKQ851996 FUM851995:FUM851996 GEI851995:GEI851996 GOE851995:GOE851996 GYA851995:GYA851996 HHW851995:HHW851996 HRS851995:HRS851996 IBO851995:IBO851996 ILK851995:ILK851996 IVG851995:IVG851996 JFC851995:JFC851996 JOY851995:JOY851996 JYU851995:JYU851996 KIQ851995:KIQ851996 KSM851995:KSM851996 LCI851995:LCI851996 LME851995:LME851996 LWA851995:LWA851996 MFW851995:MFW851996 MPS851995:MPS851996 MZO851995:MZO851996 NJK851995:NJK851996 NTG851995:NTG851996 ODC851995:ODC851996 OMY851995:OMY851996 OWU851995:OWU851996 PGQ851995:PGQ851996 PQM851995:PQM851996 QAI851995:QAI851996 QKE851995:QKE851996 QUA851995:QUA851996 RDW851995:RDW851996 RNS851995:RNS851996 RXO851995:RXO851996 SHK851995:SHK851996 SRG851995:SRG851996 TBC851995:TBC851996 TKY851995:TKY851996 TUU851995:TUU851996 UEQ851995:UEQ851996 UOM851995:UOM851996 UYI851995:UYI851996 VIE851995:VIE851996 VSA851995:VSA851996 WBW851995:WBW851996 WLS851995:WLS851996 WVO851995:WVO851996 G917531:G917532 JC917531:JC917532 SY917531:SY917532 ACU917531:ACU917532 AMQ917531:AMQ917532 AWM917531:AWM917532 BGI917531:BGI917532 BQE917531:BQE917532 CAA917531:CAA917532 CJW917531:CJW917532 CTS917531:CTS917532 DDO917531:DDO917532 DNK917531:DNK917532 DXG917531:DXG917532 EHC917531:EHC917532 EQY917531:EQY917532 FAU917531:FAU917532 FKQ917531:FKQ917532 FUM917531:FUM917532 GEI917531:GEI917532 GOE917531:GOE917532 GYA917531:GYA917532 HHW917531:HHW917532 HRS917531:HRS917532 IBO917531:IBO917532 ILK917531:ILK917532 IVG917531:IVG917532 JFC917531:JFC917532 JOY917531:JOY917532 JYU917531:JYU917532 KIQ917531:KIQ917532 KSM917531:KSM917532 LCI917531:LCI917532 LME917531:LME917532 LWA917531:LWA917532 MFW917531:MFW917532 MPS917531:MPS917532 MZO917531:MZO917532 NJK917531:NJK917532 NTG917531:NTG917532 ODC917531:ODC917532 OMY917531:OMY917532 OWU917531:OWU917532 PGQ917531:PGQ917532 PQM917531:PQM917532 QAI917531:QAI917532 QKE917531:QKE917532 QUA917531:QUA917532 RDW917531:RDW917532 RNS917531:RNS917532 RXO917531:RXO917532 SHK917531:SHK917532 SRG917531:SRG917532 TBC917531:TBC917532 TKY917531:TKY917532 TUU917531:TUU917532 UEQ917531:UEQ917532 UOM917531:UOM917532 UYI917531:UYI917532 VIE917531:VIE917532 VSA917531:VSA917532 WBW917531:WBW917532 WLS917531:WLS917532 WVO917531:WVO917532 G983067:G983068 JC983067:JC983068 SY983067:SY983068 ACU983067:ACU983068 AMQ983067:AMQ983068 AWM983067:AWM983068 BGI983067:BGI983068 BQE983067:BQE983068 CAA983067:CAA983068 CJW983067:CJW983068 CTS983067:CTS983068 DDO983067:DDO983068 DNK983067:DNK983068 DXG983067:DXG983068 EHC983067:EHC983068 EQY983067:EQY983068 FAU983067:FAU983068 FKQ983067:FKQ983068 FUM983067:FUM983068 GEI983067:GEI983068 GOE983067:GOE983068 GYA983067:GYA983068 HHW983067:HHW983068 HRS983067:HRS983068 IBO983067:IBO983068 ILK983067:ILK983068 IVG983067:IVG983068 JFC983067:JFC983068 JOY983067:JOY983068 JYU983067:JYU983068 KIQ983067:KIQ983068 KSM983067:KSM983068 LCI983067:LCI983068 LME983067:LME983068 LWA983067:LWA983068 MFW983067:MFW983068 MPS983067:MPS983068 MZO983067:MZO983068 NJK983067:NJK983068 NTG983067:NTG983068 ODC983067:ODC983068 OMY983067:OMY983068 OWU983067:OWU983068 PGQ983067:PGQ983068 PQM983067:PQM983068 QAI983067:QAI983068 QKE983067:QKE983068 QUA983067:QUA983068 RDW983067:RDW983068 RNS983067:RNS983068 RXO983067:RXO983068 SHK983067:SHK983068 SRG983067:SRG983068 TBC983067:TBC983068 TKY983067:TKY983068 TUU983067:TUU983068 UEQ983067:UEQ983068 UOM983067:UOM983068 UYI983067:UYI983068 VIE983067:VIE983068 VSA983067:VSA983068 WBW983067:WBW983068 WLS983067:WLS983068 WVO983067:WVO983068 G65579 JC65579 SY65579 ACU65579 AMQ65579 AWM65579 BGI65579 BQE65579 CAA65579 CJW65579 CTS65579 DDO65579 DNK65579 DXG65579 EHC65579 EQY65579 FAU65579 FKQ65579 FUM65579 GEI65579 GOE65579 GYA65579 HHW65579 HRS65579 IBO65579 ILK65579 IVG65579 JFC65579 JOY65579 JYU65579 KIQ65579 KSM65579 LCI65579 LME65579 LWA65579 MFW65579 MPS65579 MZO65579 NJK65579 NTG65579 ODC65579 OMY65579 OWU65579 PGQ65579 PQM65579 QAI65579 QKE65579 QUA65579 RDW65579 RNS65579 RXO65579 SHK65579 SRG65579 TBC65579 TKY65579 TUU65579 UEQ65579 UOM65579 UYI65579 VIE65579 VSA65579 WBW65579 WLS65579 WVO65579 G131115 JC131115 SY131115 ACU131115 AMQ131115 AWM131115 BGI131115 BQE131115 CAA131115 CJW131115 CTS131115 DDO131115 DNK131115 DXG131115 EHC131115 EQY131115 FAU131115 FKQ131115 FUM131115 GEI131115 GOE131115 GYA131115 HHW131115 HRS131115 IBO131115 ILK131115 IVG131115 JFC131115 JOY131115 JYU131115 KIQ131115 KSM131115 LCI131115 LME131115 LWA131115 MFW131115 MPS131115 MZO131115 NJK131115 NTG131115 ODC131115 OMY131115 OWU131115 PGQ131115 PQM131115 QAI131115 QKE131115 QUA131115 RDW131115 RNS131115 RXO131115 SHK131115 SRG131115 TBC131115 TKY131115 TUU131115 UEQ131115 UOM131115 UYI131115 VIE131115 VSA131115 WBW131115 WLS131115 WVO131115 G196651 JC196651 SY196651 ACU196651 AMQ196651 AWM196651 BGI196651 BQE196651 CAA196651 CJW196651 CTS196651 DDO196651 DNK196651 DXG196651 EHC196651 EQY196651 FAU196651 FKQ196651 FUM196651 GEI196651 GOE196651 GYA196651 HHW196651 HRS196651 IBO196651 ILK196651 IVG196651 JFC196651 JOY196651 JYU196651 KIQ196651 KSM196651 LCI196651 LME196651 LWA196651 MFW196651 MPS196651 MZO196651 NJK196651 NTG196651 ODC196651 OMY196651 OWU196651 PGQ196651 PQM196651 QAI196651 QKE196651 QUA196651 RDW196651 RNS196651 RXO196651 SHK196651 SRG196651 TBC196651 TKY196651 TUU196651 UEQ196651 UOM196651 UYI196651 VIE196651 VSA196651 WBW196651 WLS196651 WVO196651 G262187 JC262187 SY262187 ACU262187 AMQ262187 AWM262187 BGI262187 BQE262187 CAA262187 CJW262187 CTS262187 DDO262187 DNK262187 DXG262187 EHC262187 EQY262187 FAU262187 FKQ262187 FUM262187 GEI262187 GOE262187 GYA262187 HHW262187 HRS262187 IBO262187 ILK262187 IVG262187 JFC262187 JOY262187 JYU262187 KIQ262187 KSM262187 LCI262187 LME262187 LWA262187 MFW262187 MPS262187 MZO262187 NJK262187 NTG262187 ODC262187 OMY262187 OWU262187 PGQ262187 PQM262187 QAI262187 QKE262187 QUA262187 RDW262187 RNS262187 RXO262187 SHK262187 SRG262187 TBC262187 TKY262187 TUU262187 UEQ262187 UOM262187 UYI262187 VIE262187 VSA262187 WBW262187 WLS262187 WVO262187 G327723 JC327723 SY327723 ACU327723 AMQ327723 AWM327723 BGI327723 BQE327723 CAA327723 CJW327723 CTS327723 DDO327723 DNK327723 DXG327723 EHC327723 EQY327723 FAU327723 FKQ327723 FUM327723 GEI327723 GOE327723 GYA327723 HHW327723 HRS327723 IBO327723 ILK327723 IVG327723 JFC327723 JOY327723 JYU327723 KIQ327723 KSM327723 LCI327723 LME327723 LWA327723 MFW327723 MPS327723 MZO327723 NJK327723 NTG327723 ODC327723 OMY327723 OWU327723 PGQ327723 PQM327723 QAI327723 QKE327723 QUA327723 RDW327723 RNS327723 RXO327723 SHK327723 SRG327723 TBC327723 TKY327723 TUU327723 UEQ327723 UOM327723 UYI327723 VIE327723 VSA327723 WBW327723 WLS327723 WVO327723 G393259 JC393259 SY393259 ACU393259 AMQ393259 AWM393259 BGI393259 BQE393259 CAA393259 CJW393259 CTS393259 DDO393259 DNK393259 DXG393259 EHC393259 EQY393259 FAU393259 FKQ393259 FUM393259 GEI393259 GOE393259 GYA393259 HHW393259 HRS393259 IBO393259 ILK393259 IVG393259 JFC393259 JOY393259 JYU393259 KIQ393259 KSM393259 LCI393259 LME393259 LWA393259 MFW393259 MPS393259 MZO393259 NJK393259 NTG393259 ODC393259 OMY393259 OWU393259 PGQ393259 PQM393259 QAI393259 QKE393259 QUA393259 RDW393259 RNS393259 RXO393259 SHK393259 SRG393259 TBC393259 TKY393259 TUU393259 UEQ393259 UOM393259 UYI393259 VIE393259 VSA393259 WBW393259 WLS393259 WVO393259 G458795 JC458795 SY458795 ACU458795 AMQ458795 AWM458795 BGI458795 BQE458795 CAA458795 CJW458795 CTS458795 DDO458795 DNK458795 DXG458795 EHC458795 EQY458795 FAU458795 FKQ458795 FUM458795 GEI458795 GOE458795 GYA458795 HHW458795 HRS458795 IBO458795 ILK458795 IVG458795 JFC458795 JOY458795 JYU458795 KIQ458795 KSM458795 LCI458795 LME458795 LWA458795 MFW458795 MPS458795 MZO458795 NJK458795 NTG458795 ODC458795 OMY458795 OWU458795 PGQ458795 PQM458795 QAI458795 QKE458795 QUA458795 RDW458795 RNS458795 RXO458795 SHK458795 SRG458795 TBC458795 TKY458795 TUU458795 UEQ458795 UOM458795 UYI458795 VIE458795 VSA458795 WBW458795 WLS458795 WVO458795 G524331 JC524331 SY524331 ACU524331 AMQ524331 AWM524331 BGI524331 BQE524331 CAA524331 CJW524331 CTS524331 DDO524331 DNK524331 DXG524331 EHC524331 EQY524331 FAU524331 FKQ524331 FUM524331 GEI524331 GOE524331 GYA524331 HHW524331 HRS524331 IBO524331 ILK524331 IVG524331 JFC524331 JOY524331 JYU524331 KIQ524331 KSM524331 LCI524331 LME524331 LWA524331 MFW524331 MPS524331 MZO524331 NJK524331 NTG524331 ODC524331 OMY524331 OWU524331 PGQ524331 PQM524331 QAI524331 QKE524331 QUA524331 RDW524331 RNS524331 RXO524331 SHK524331 SRG524331 TBC524331 TKY524331 TUU524331 UEQ524331 UOM524331 UYI524331 VIE524331 VSA524331 WBW524331 WLS524331 WVO524331 G589867 JC589867 SY589867 ACU589867 AMQ589867 AWM589867 BGI589867 BQE589867 CAA589867 CJW589867 CTS589867 DDO589867 DNK589867 DXG589867 EHC589867 EQY589867 FAU589867 FKQ589867 FUM589867 GEI589867 GOE589867 GYA589867 HHW589867 HRS589867 IBO589867 ILK589867 IVG589867 JFC589867 JOY589867 JYU589867 KIQ589867 KSM589867 LCI589867 LME589867 LWA589867 MFW589867 MPS589867 MZO589867 NJK589867 NTG589867 ODC589867 OMY589867 OWU589867 PGQ589867 PQM589867 QAI589867 QKE589867 QUA589867 RDW589867 RNS589867 RXO589867 SHK589867 SRG589867 TBC589867 TKY589867 TUU589867 UEQ589867 UOM589867 UYI589867 VIE589867 VSA589867 WBW589867 WLS589867 WVO589867 G655403 JC655403 SY655403 ACU655403 AMQ655403 AWM655403 BGI655403 BQE655403 CAA655403 CJW655403 CTS655403 DDO655403 DNK655403 DXG655403 EHC655403 EQY655403 FAU655403 FKQ655403 FUM655403 GEI655403 GOE655403 GYA655403 HHW655403 HRS655403 IBO655403 ILK655403 IVG655403 JFC655403 JOY655403 JYU655403 KIQ655403 KSM655403 LCI655403 LME655403 LWA655403 MFW655403 MPS655403 MZO655403 NJK655403 NTG655403 ODC655403 OMY655403 OWU655403 PGQ655403 PQM655403 QAI655403 QKE655403 QUA655403 RDW655403 RNS655403 RXO655403 SHK655403 SRG655403 TBC655403 TKY655403 TUU655403 UEQ655403 UOM655403 UYI655403 VIE655403 VSA655403 WBW655403 WLS655403 WVO655403 G720939 JC720939 SY720939 ACU720939 AMQ720939 AWM720939 BGI720939 BQE720939 CAA720939 CJW720939 CTS720939 DDO720939 DNK720939 DXG720939 EHC720939 EQY720939 FAU720939 FKQ720939 FUM720939 GEI720939 GOE720939 GYA720939 HHW720939 HRS720939 IBO720939 ILK720939 IVG720939 JFC720939 JOY720939 JYU720939 KIQ720939 KSM720939 LCI720939 LME720939 LWA720939 MFW720939 MPS720939 MZO720939 NJK720939 NTG720939 ODC720939 OMY720939 OWU720939 PGQ720939 PQM720939 QAI720939 QKE720939 QUA720939 RDW720939 RNS720939 RXO720939 SHK720939 SRG720939 TBC720939 TKY720939 TUU720939 UEQ720939 UOM720939 UYI720939 VIE720939 VSA720939 WBW720939 WLS720939 WVO720939 G786475 JC786475 SY786475 ACU786475 AMQ786475 AWM786475 BGI786475 BQE786475 CAA786475 CJW786475 CTS786475 DDO786475 DNK786475 DXG786475 EHC786475 EQY786475 FAU786475 FKQ786475 FUM786475 GEI786475 GOE786475 GYA786475 HHW786475 HRS786475 IBO786475 ILK786475 IVG786475 JFC786475 JOY786475 JYU786475 KIQ786475 KSM786475 LCI786475 LME786475 LWA786475 MFW786475 MPS786475 MZO786475 NJK786475 NTG786475 ODC786475 OMY786475 OWU786475 PGQ786475 PQM786475 QAI786475 QKE786475 QUA786475 RDW786475 RNS786475 RXO786475 SHK786475 SRG786475 TBC786475 TKY786475 TUU786475 UEQ786475 UOM786475 UYI786475 VIE786475 VSA786475 WBW786475 WLS786475 WVO786475 G852011 JC852011 SY852011 ACU852011 AMQ852011 AWM852011 BGI852011 BQE852011 CAA852011 CJW852011 CTS852011 DDO852011 DNK852011 DXG852011 EHC852011 EQY852011 FAU852011 FKQ852011 FUM852011 GEI852011 GOE852011 GYA852011 HHW852011 HRS852011 IBO852011 ILK852011 IVG852011 JFC852011 JOY852011 JYU852011 KIQ852011 KSM852011 LCI852011 LME852011 LWA852011 MFW852011 MPS852011 MZO852011 NJK852011 NTG852011 ODC852011 OMY852011 OWU852011 PGQ852011 PQM852011 QAI852011 QKE852011 QUA852011 RDW852011 RNS852011 RXO852011 SHK852011 SRG852011 TBC852011 TKY852011 TUU852011 UEQ852011 UOM852011 UYI852011 VIE852011 VSA852011 WBW852011 WLS852011 WVO852011 G917547 JC917547 SY917547 ACU917547 AMQ917547 AWM917547 BGI917547 BQE917547 CAA917547 CJW917547 CTS917547 DDO917547 DNK917547 DXG917547 EHC917547 EQY917547 FAU917547 FKQ917547 FUM917547 GEI917547 GOE917547 GYA917547 HHW917547 HRS917547 IBO917547 ILK917547 IVG917547 JFC917547 JOY917547 JYU917547 KIQ917547 KSM917547 LCI917547 LME917547 LWA917547 MFW917547 MPS917547 MZO917547 NJK917547 NTG917547 ODC917547 OMY917547 OWU917547 PGQ917547 PQM917547 QAI917547 QKE917547 QUA917547 RDW917547 RNS917547 RXO917547 SHK917547 SRG917547 TBC917547 TKY917547 TUU917547 UEQ917547 UOM917547 UYI917547 VIE917547 VSA917547 WBW917547 WLS917547 WVO917547 G983083 JC983083 SY983083 ACU983083 AMQ983083 AWM983083 BGI983083 BQE983083 CAA983083 CJW983083 CTS983083 DDO983083 DNK983083 DXG983083 EHC983083 EQY983083 FAU983083 FKQ983083 FUM983083 GEI983083 GOE983083 GYA983083 HHW983083 HRS983083 IBO983083 ILK983083 IVG983083 JFC983083 JOY983083 JYU983083 KIQ983083 KSM983083 LCI983083 LME983083 LWA983083 MFW983083 MPS983083 MZO983083 NJK983083 NTG983083 ODC983083 OMY983083 OWU983083 PGQ983083 PQM983083 QAI983083 QKE983083 QUA983083 RDW983083 RNS983083 RXO983083 SHK983083 SRG983083 TBC983083 TKY983083 TUU983083 UEQ983083 UOM983083 UYI983083 VIE983083 VSA983083 WBW983083 G34:G35 G17:G30 G42:G43" xr:uid="{DF6BD3FF-8EA4-4B28-A559-FC42BAA42E48}">
      <formula1>"0,1"</formula1>
    </dataValidation>
    <dataValidation type="custom" allowBlank="1" showInputMessage="1" showErrorMessage="1" sqref="G50" xr:uid="{50CC6796-D3C7-4E96-9C15-C1BE6F5EA2C9}">
      <formula1>G50&lt;=F49</formula1>
    </dataValidation>
  </dataValidations>
  <pageMargins left="0.59055118110236227" right="0.59055118110236227" top="0.59055118110236227" bottom="0.59055118110236227" header="0.51181102362204722" footer="0.51181102362204722"/>
  <pageSetup paperSize="9" fitToHeight="2" orientation="portrait" r:id="rId1"/>
  <headerFooter alignWithMargins="0">
    <oddHeader>&amp;LMOD.11: PROG_OFF_SSC&amp;RREV.3 - 04.05.2018</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B4E2-41A3-4526-B97C-76B1C3A19C7A}">
  <dimension ref="A1:AJ125"/>
  <sheetViews>
    <sheetView zoomScaleNormal="100" workbookViewId="0">
      <selection activeCell="G3" sqref="G3"/>
    </sheetView>
  </sheetViews>
  <sheetFormatPr defaultColWidth="11" defaultRowHeight="15.6" x14ac:dyDescent="0.3"/>
  <cols>
    <col min="1" max="1" width="13.296875" style="43" customWidth="1"/>
    <col min="2" max="2" width="3.5" style="43" customWidth="1"/>
    <col min="3" max="3" width="57.5" style="43" customWidth="1"/>
    <col min="4" max="4" width="15" style="43" customWidth="1"/>
    <col min="5" max="5" width="19" style="43" customWidth="1"/>
    <col min="6" max="6" width="10.59765625" style="43" hidden="1" customWidth="1"/>
    <col min="7" max="7" width="26.8984375" style="55" customWidth="1"/>
    <col min="8" max="8" width="17.19921875" style="56" customWidth="1"/>
    <col min="9" max="9" width="13.19921875" style="43" customWidth="1"/>
    <col min="10" max="10" width="44.09765625" style="43" customWidth="1"/>
    <col min="11" max="11" width="53.5" style="43" customWidth="1"/>
    <col min="12" max="14" width="11" style="43"/>
    <col min="15" max="15" width="11.09765625" style="43" bestFit="1" customWidth="1"/>
    <col min="16" max="16" width="7.3984375" style="43" bestFit="1" customWidth="1"/>
    <col min="17" max="17" width="7.19921875" style="43" bestFit="1" customWidth="1"/>
    <col min="18" max="18" width="3.3984375" style="43" bestFit="1" customWidth="1"/>
    <col min="19" max="19" width="11" style="43"/>
    <col min="20" max="36" width="11" style="43" hidden="1" customWidth="1"/>
    <col min="37" max="37" width="11" style="43" customWidth="1"/>
    <col min="38" max="38" width="6.3984375" style="43" customWidth="1"/>
    <col min="39" max="16384" width="11" style="43"/>
  </cols>
  <sheetData>
    <row r="1" spans="1:30" ht="15.6" customHeight="1" x14ac:dyDescent="0.3">
      <c r="A1" s="120"/>
      <c r="B1" s="121"/>
      <c r="C1" s="121"/>
      <c r="D1" s="121"/>
      <c r="E1" s="121"/>
      <c r="F1" s="121"/>
      <c r="G1" s="122"/>
      <c r="H1" s="123"/>
      <c r="I1" s="124"/>
    </row>
    <row r="2" spans="1:30" ht="14.4" customHeight="1" x14ac:dyDescent="0.3">
      <c r="A2" s="37"/>
      <c r="B2" s="277" t="s">
        <v>129</v>
      </c>
      <c r="C2" s="278"/>
      <c r="D2" s="278"/>
      <c r="E2" s="278"/>
      <c r="F2" s="118"/>
      <c r="G2" s="125" t="s">
        <v>74</v>
      </c>
      <c r="H2" s="281" t="e" vm="1">
        <v>#VALUE!</v>
      </c>
      <c r="I2" s="42"/>
    </row>
    <row r="3" spans="1:30" ht="45.6" customHeight="1" x14ac:dyDescent="0.3">
      <c r="A3" s="37"/>
      <c r="B3" s="279"/>
      <c r="C3" s="280"/>
      <c r="D3" s="280"/>
      <c r="E3" s="280"/>
      <c r="F3" s="119"/>
      <c r="G3" s="7"/>
      <c r="H3" s="281"/>
      <c r="I3" s="42"/>
    </row>
    <row r="4" spans="1:30" ht="15.6" customHeight="1" x14ac:dyDescent="0.3">
      <c r="A4" s="37"/>
      <c r="B4" s="38"/>
      <c r="C4" s="38"/>
      <c r="D4" s="38"/>
      <c r="E4" s="38"/>
      <c r="F4" s="38"/>
      <c r="G4" s="48"/>
      <c r="H4" s="49"/>
      <c r="I4" s="42"/>
    </row>
    <row r="5" spans="1:30" ht="18" customHeight="1" x14ac:dyDescent="0.3">
      <c r="A5" s="37"/>
      <c r="B5" s="72" t="s">
        <v>73</v>
      </c>
      <c r="C5" s="76"/>
      <c r="D5" s="74"/>
      <c r="E5" s="74"/>
      <c r="F5" s="76"/>
      <c r="G5" s="76"/>
      <c r="H5" s="111" t="s">
        <v>158</v>
      </c>
      <c r="I5" s="42"/>
      <c r="V5" s="112" t="s">
        <v>159</v>
      </c>
      <c r="W5" s="113"/>
      <c r="X5" s="276" t="s">
        <v>160</v>
      </c>
      <c r="Y5" s="276"/>
      <c r="Z5" s="276"/>
    </row>
    <row r="6" spans="1:30" ht="18" customHeight="1" x14ac:dyDescent="0.3">
      <c r="A6" s="37"/>
      <c r="B6" s="11">
        <v>1</v>
      </c>
      <c r="C6" s="12" t="s">
        <v>130</v>
      </c>
      <c r="D6" s="27"/>
      <c r="E6" s="22"/>
      <c r="F6" s="66">
        <v>9245.6</v>
      </c>
      <c r="G6" s="67">
        <v>1</v>
      </c>
      <c r="H6" s="78">
        <f>F6*G6</f>
        <v>9245.6</v>
      </c>
      <c r="I6" s="42"/>
      <c r="V6" s="86" t="s">
        <v>161</v>
      </c>
      <c r="W6" s="114">
        <f>ROUND('Facile Step X3'!G17,1)</f>
        <v>1.8</v>
      </c>
      <c r="X6" s="115" t="s">
        <v>162</v>
      </c>
      <c r="Y6" s="116"/>
      <c r="Z6" s="117"/>
    </row>
    <row r="7" spans="1:30" ht="18" customHeight="1" x14ac:dyDescent="0.3">
      <c r="A7" s="37"/>
      <c r="B7" s="29" t="s">
        <v>131</v>
      </c>
      <c r="C7" s="14" t="s">
        <v>132</v>
      </c>
      <c r="D7" s="30"/>
      <c r="E7" s="22"/>
      <c r="F7" s="66">
        <v>267.8</v>
      </c>
      <c r="G7" s="35"/>
      <c r="H7" s="78">
        <f>F7*G7</f>
        <v>0</v>
      </c>
      <c r="I7" s="42"/>
      <c r="V7" s="86" t="s">
        <v>163</v>
      </c>
      <c r="W7" s="110">
        <f>'Facile Step X3'!AD12</f>
        <v>685</v>
      </c>
      <c r="X7" s="88" t="s">
        <v>164</v>
      </c>
      <c r="Y7" s="89"/>
      <c r="Z7" s="90"/>
    </row>
    <row r="8" spans="1:30" ht="18" customHeight="1" x14ac:dyDescent="0.3">
      <c r="A8" s="37"/>
      <c r="B8" s="13">
        <v>2</v>
      </c>
      <c r="C8" s="14" t="s">
        <v>1</v>
      </c>
      <c r="D8" s="30"/>
      <c r="E8" s="23"/>
      <c r="F8" s="66">
        <v>0</v>
      </c>
      <c r="G8" s="67"/>
      <c r="H8" s="78">
        <f t="shared" ref="H8:H52" si="0">F8*G8</f>
        <v>0</v>
      </c>
      <c r="I8" s="42"/>
      <c r="V8" s="86"/>
      <c r="W8" s="87"/>
      <c r="X8" s="88" t="s">
        <v>165</v>
      </c>
      <c r="Y8" s="89"/>
      <c r="Z8" s="90"/>
    </row>
    <row r="9" spans="1:30" ht="18" customHeight="1" x14ac:dyDescent="0.3">
      <c r="A9" s="37"/>
      <c r="B9" s="15"/>
      <c r="C9" s="16" t="s">
        <v>2</v>
      </c>
      <c r="D9" s="33"/>
      <c r="E9" s="24"/>
      <c r="F9" s="66">
        <v>845</v>
      </c>
      <c r="G9" s="35"/>
      <c r="H9" s="78">
        <f t="shared" si="0"/>
        <v>0</v>
      </c>
      <c r="I9" s="42"/>
      <c r="V9" s="86" t="s">
        <v>166</v>
      </c>
      <c r="W9" s="87">
        <f>VLOOKUP(ROUND('Facile Step X3'!$AC$12,1),'Facile Step X3'!$U$25:$AI$125,5,0)</f>
        <v>1</v>
      </c>
      <c r="X9" s="88" t="s">
        <v>167</v>
      </c>
      <c r="Y9" s="89"/>
      <c r="Z9" s="90"/>
    </row>
    <row r="10" spans="1:30" ht="18" customHeight="1" x14ac:dyDescent="0.3">
      <c r="A10" s="37"/>
      <c r="B10" s="15"/>
      <c r="C10" s="16" t="s">
        <v>3</v>
      </c>
      <c r="D10" s="33"/>
      <c r="E10" s="24"/>
      <c r="F10" s="66">
        <v>0</v>
      </c>
      <c r="G10" s="35"/>
      <c r="H10" s="78">
        <f t="shared" si="0"/>
        <v>0</v>
      </c>
      <c r="I10" s="42"/>
      <c r="V10" s="86" t="s">
        <v>166</v>
      </c>
      <c r="W10" s="87">
        <f>VLOOKUP(ROUND('Facile Step X3'!$AC$12,1),'Facile Step X3'!$U$25:$AI$125,6,0)</f>
        <v>0</v>
      </c>
      <c r="X10" s="88" t="s">
        <v>168</v>
      </c>
      <c r="Y10" s="89"/>
      <c r="Z10" s="90"/>
    </row>
    <row r="11" spans="1:30" ht="18" customHeight="1" x14ac:dyDescent="0.3">
      <c r="A11" s="37"/>
      <c r="B11" s="15"/>
      <c r="C11" s="16" t="s">
        <v>4</v>
      </c>
      <c r="D11" s="33"/>
      <c r="E11" s="24"/>
      <c r="F11" s="66">
        <v>0</v>
      </c>
      <c r="G11" s="35"/>
      <c r="H11" s="78">
        <f t="shared" si="0"/>
        <v>0</v>
      </c>
      <c r="I11" s="42"/>
      <c r="V11" s="86" t="s">
        <v>166</v>
      </c>
      <c r="W11" s="87">
        <f>VLOOKUP(ROUND('Facile Step X3'!$AC$12,1),'Facile Step X3'!$U$25:$AI$125,7,0)</f>
        <v>0</v>
      </c>
      <c r="X11" s="88" t="s">
        <v>169</v>
      </c>
      <c r="Y11" s="89"/>
      <c r="Z11" s="90"/>
      <c r="AB11" s="282" t="s">
        <v>170</v>
      </c>
      <c r="AC11" s="283"/>
      <c r="AD11" s="109" t="s">
        <v>171</v>
      </c>
    </row>
    <row r="12" spans="1:30" ht="18" customHeight="1" x14ac:dyDescent="0.3">
      <c r="A12" s="37"/>
      <c r="B12" s="15"/>
      <c r="C12" s="16" t="s">
        <v>5</v>
      </c>
      <c r="D12" s="33"/>
      <c r="E12" s="24"/>
      <c r="F12" s="66">
        <v>0</v>
      </c>
      <c r="G12" s="35"/>
      <c r="H12" s="78">
        <f>F12*G12</f>
        <v>0</v>
      </c>
      <c r="I12" s="42"/>
      <c r="V12" s="86" t="s">
        <v>166</v>
      </c>
      <c r="W12" s="87">
        <f>VLOOKUP(ROUND('Facile Step X3'!$AC$12,1),'Facile Step X3'!$U$25:$AI$125,8,0)</f>
        <v>1</v>
      </c>
      <c r="X12" s="88" t="s">
        <v>172</v>
      </c>
      <c r="Y12" s="89"/>
      <c r="Z12" s="90"/>
      <c r="AB12" s="106" t="s">
        <v>173</v>
      </c>
      <c r="AC12" s="107">
        <f>'Facile Step X3'!W6</f>
        <v>1.8</v>
      </c>
      <c r="AD12" s="108">
        <f>VLOOKUP((ROUND(AC12,1)),U25:AI125,14,0)</f>
        <v>685</v>
      </c>
    </row>
    <row r="13" spans="1:30" ht="18" customHeight="1" x14ac:dyDescent="0.3">
      <c r="A13" s="37"/>
      <c r="B13" s="15"/>
      <c r="C13" s="16" t="s">
        <v>6</v>
      </c>
      <c r="D13" s="33"/>
      <c r="E13" s="24"/>
      <c r="F13" s="66">
        <v>469.3</v>
      </c>
      <c r="G13" s="35"/>
      <c r="H13" s="78">
        <f>F13*G13</f>
        <v>0</v>
      </c>
      <c r="I13" s="42"/>
      <c r="V13" s="86" t="s">
        <v>166</v>
      </c>
      <c r="W13" s="87">
        <f>W9+W10+W11+W12</f>
        <v>2</v>
      </c>
      <c r="X13" s="88" t="s">
        <v>174</v>
      </c>
      <c r="Y13" s="89"/>
      <c r="Z13" s="90"/>
    </row>
    <row r="14" spans="1:30" ht="18" customHeight="1" x14ac:dyDescent="0.3">
      <c r="A14" s="37"/>
      <c r="B14" s="17"/>
      <c r="C14" s="18" t="s">
        <v>7</v>
      </c>
      <c r="D14" s="34"/>
      <c r="E14" s="25"/>
      <c r="F14" s="66">
        <v>469.3</v>
      </c>
      <c r="G14" s="35"/>
      <c r="H14" s="78">
        <f>F14*G14</f>
        <v>0</v>
      </c>
      <c r="I14" s="42"/>
      <c r="V14" s="86" t="s">
        <v>166</v>
      </c>
      <c r="W14" s="87">
        <f>VLOOKUP(ROUND('Facile Step X3'!$AC$12,1),'Facile Step X3'!$U$25:$AI$125,12,0)</f>
        <v>1</v>
      </c>
      <c r="X14" s="88" t="s">
        <v>175</v>
      </c>
      <c r="Y14" s="89"/>
      <c r="Z14" s="90"/>
    </row>
    <row r="15" spans="1:30" ht="18" customHeight="1" x14ac:dyDescent="0.3">
      <c r="A15" s="37"/>
      <c r="B15" s="11">
        <v>4</v>
      </c>
      <c r="C15" s="12" t="s">
        <v>211</v>
      </c>
      <c r="D15" s="27"/>
      <c r="E15" s="22"/>
      <c r="F15" s="66">
        <v>1553.5</v>
      </c>
      <c r="G15" s="35"/>
      <c r="H15" s="78">
        <f>F15*G15</f>
        <v>0</v>
      </c>
      <c r="I15" s="42"/>
      <c r="V15" s="86" t="s">
        <v>166</v>
      </c>
      <c r="W15" s="87">
        <f>VLOOKUP(ROUND('Facile Step X3'!$AC$12,1),'Facile Step X3'!$U$25:$AI$125,13,0)</f>
        <v>5</v>
      </c>
      <c r="X15" s="88" t="s">
        <v>176</v>
      </c>
      <c r="Y15" s="89"/>
      <c r="Z15" s="90"/>
    </row>
    <row r="16" spans="1:30" ht="18" customHeight="1" x14ac:dyDescent="0.3">
      <c r="A16" s="37"/>
      <c r="B16" s="101" t="s">
        <v>8</v>
      </c>
      <c r="C16" s="102"/>
      <c r="D16" s="103"/>
      <c r="E16" s="103"/>
      <c r="F16" s="104"/>
      <c r="G16" s="102"/>
      <c r="H16" s="105"/>
      <c r="I16" s="42"/>
      <c r="V16" s="86" t="s">
        <v>177</v>
      </c>
      <c r="W16" s="87">
        <f>VLOOKUP(ROUND('Facile Step X3'!$AC$12,1),'Facile Step X3'!$U$25:$AI$125,10,0)</f>
        <v>100</v>
      </c>
      <c r="X16" s="88" t="s">
        <v>178</v>
      </c>
      <c r="Y16" s="89"/>
      <c r="Z16" s="90"/>
    </row>
    <row r="17" spans="1:35" ht="18" customHeight="1" x14ac:dyDescent="0.3">
      <c r="A17" s="37"/>
      <c r="B17" s="19">
        <v>5</v>
      </c>
      <c r="C17" s="20" t="s">
        <v>210</v>
      </c>
      <c r="D17" s="26"/>
      <c r="E17" s="26" t="s">
        <v>71</v>
      </c>
      <c r="F17" s="66"/>
      <c r="G17" s="36">
        <v>1.76</v>
      </c>
      <c r="H17" s="85">
        <f t="shared" si="0"/>
        <v>0</v>
      </c>
      <c r="I17" s="42"/>
      <c r="V17" s="86" t="s">
        <v>161</v>
      </c>
      <c r="W17" s="87">
        <f>W6</f>
        <v>1.8</v>
      </c>
      <c r="X17" s="88" t="s">
        <v>179</v>
      </c>
      <c r="Y17" s="89"/>
      <c r="Z17" s="90"/>
    </row>
    <row r="18" spans="1:35" ht="18" hidden="1" customHeight="1" x14ac:dyDescent="0.3">
      <c r="A18" s="37"/>
      <c r="B18" s="21"/>
      <c r="C18" s="20" t="s">
        <v>133</v>
      </c>
      <c r="D18" s="26"/>
      <c r="E18" s="26"/>
      <c r="F18" s="66">
        <v>247</v>
      </c>
      <c r="G18" s="84">
        <f>'Facile Step X3'!W9</f>
        <v>1</v>
      </c>
      <c r="H18" s="85">
        <f t="shared" si="0"/>
        <v>247</v>
      </c>
      <c r="I18" s="42"/>
      <c r="V18" s="86" t="s">
        <v>166</v>
      </c>
      <c r="W18" s="87">
        <f>VLOOKUP(W17,'Facile Step X3'!$U$25:$AI$125,15,0)</f>
        <v>6</v>
      </c>
      <c r="X18" s="88" t="s">
        <v>180</v>
      </c>
      <c r="Y18" s="89"/>
      <c r="Z18" s="90"/>
    </row>
    <row r="19" spans="1:35" ht="18" hidden="1" customHeight="1" x14ac:dyDescent="0.3">
      <c r="A19" s="37"/>
      <c r="B19" s="21"/>
      <c r="C19" s="20" t="s">
        <v>134</v>
      </c>
      <c r="D19" s="26"/>
      <c r="E19" s="26"/>
      <c r="F19" s="66">
        <v>339.3</v>
      </c>
      <c r="G19" s="84">
        <f>'Facile Step X3'!W10</f>
        <v>0</v>
      </c>
      <c r="H19" s="85">
        <f t="shared" si="0"/>
        <v>0</v>
      </c>
      <c r="I19" s="42"/>
      <c r="V19" s="91" t="s">
        <v>161</v>
      </c>
      <c r="W19" s="92">
        <f>(VLOOKUP(ROUND('Facile Step X3'!$AC$12,1),'Facile Step X3'!$U$25:$AI$125,9,0))/1000</f>
        <v>3.2</v>
      </c>
      <c r="X19" s="93" t="s">
        <v>181</v>
      </c>
      <c r="Y19" s="94"/>
      <c r="Z19" s="95"/>
    </row>
    <row r="20" spans="1:35" ht="18" hidden="1" customHeight="1" x14ac:dyDescent="0.3">
      <c r="A20" s="37"/>
      <c r="B20" s="21"/>
      <c r="C20" s="20" t="s">
        <v>135</v>
      </c>
      <c r="D20" s="26"/>
      <c r="E20" s="26"/>
      <c r="F20" s="66">
        <v>431.6</v>
      </c>
      <c r="G20" s="84">
        <f>'Facile Step X3'!W11</f>
        <v>0</v>
      </c>
      <c r="H20" s="85">
        <f t="shared" si="0"/>
        <v>0</v>
      </c>
      <c r="I20" s="42"/>
    </row>
    <row r="21" spans="1:35" ht="18" hidden="1" customHeight="1" x14ac:dyDescent="0.3">
      <c r="A21" s="37"/>
      <c r="B21" s="21"/>
      <c r="C21" s="20" t="s">
        <v>136</v>
      </c>
      <c r="D21" s="26"/>
      <c r="E21" s="26"/>
      <c r="F21" s="66">
        <v>525.20000000000005</v>
      </c>
      <c r="G21" s="84">
        <f>'Facile Step X3'!W12</f>
        <v>1</v>
      </c>
      <c r="H21" s="85">
        <f t="shared" si="0"/>
        <v>525.20000000000005</v>
      </c>
      <c r="I21" s="42"/>
      <c r="Y21" s="284" t="s">
        <v>182</v>
      </c>
      <c r="Z21" s="284"/>
      <c r="AA21" s="284"/>
      <c r="AB21" s="284"/>
      <c r="AC21" s="97"/>
      <c r="AD21" s="97"/>
      <c r="AE21" s="97"/>
      <c r="AF21" s="96" t="s">
        <v>183</v>
      </c>
      <c r="AG21" s="96" t="s">
        <v>184</v>
      </c>
    </row>
    <row r="22" spans="1:35" ht="18" hidden="1" customHeight="1" x14ac:dyDescent="0.3">
      <c r="A22" s="37"/>
      <c r="B22" s="21"/>
      <c r="C22" s="20" t="s">
        <v>137</v>
      </c>
      <c r="D22" s="26"/>
      <c r="E22" s="26"/>
      <c r="F22" s="66">
        <v>79.3</v>
      </c>
      <c r="G22" s="84">
        <f>'Facile Step X3'!W14</f>
        <v>1</v>
      </c>
      <c r="H22" s="85">
        <f t="shared" si="0"/>
        <v>79.3</v>
      </c>
      <c r="I22" s="42"/>
      <c r="Y22" s="98">
        <v>184</v>
      </c>
      <c r="Z22" s="98">
        <v>253</v>
      </c>
      <c r="AA22" s="98">
        <v>322</v>
      </c>
      <c r="AB22" s="98">
        <v>392</v>
      </c>
      <c r="AF22" s="98">
        <v>59</v>
      </c>
      <c r="AG22" s="98">
        <v>10</v>
      </c>
    </row>
    <row r="23" spans="1:35" hidden="1" x14ac:dyDescent="0.3">
      <c r="A23" s="37"/>
      <c r="B23" s="21"/>
      <c r="C23" s="20" t="s">
        <v>138</v>
      </c>
      <c r="D23" s="26"/>
      <c r="E23" s="26"/>
      <c r="F23" s="66">
        <v>13</v>
      </c>
      <c r="G23" s="84">
        <f>'Facile Step X3'!W15</f>
        <v>5</v>
      </c>
      <c r="H23" s="85">
        <f t="shared" si="0"/>
        <v>65</v>
      </c>
      <c r="I23" s="42"/>
      <c r="U23" s="99">
        <v>1</v>
      </c>
      <c r="V23" s="99">
        <v>2</v>
      </c>
      <c r="W23" s="99">
        <v>3</v>
      </c>
      <c r="X23" s="99">
        <v>4</v>
      </c>
      <c r="Y23" s="99">
        <v>5</v>
      </c>
      <c r="Z23" s="99">
        <v>6</v>
      </c>
      <c r="AA23" s="99">
        <v>7</v>
      </c>
      <c r="AB23" s="99">
        <v>8</v>
      </c>
      <c r="AC23" s="99">
        <v>9</v>
      </c>
      <c r="AD23" s="99">
        <v>10</v>
      </c>
      <c r="AE23" s="99">
        <v>11</v>
      </c>
      <c r="AF23" s="99">
        <v>12</v>
      </c>
      <c r="AG23" s="99">
        <v>13</v>
      </c>
      <c r="AH23" s="99">
        <v>14</v>
      </c>
      <c r="AI23" s="99">
        <v>15</v>
      </c>
    </row>
    <row r="24" spans="1:35" ht="18" customHeight="1" x14ac:dyDescent="0.3">
      <c r="A24" s="37"/>
      <c r="B24" s="80" t="s">
        <v>22</v>
      </c>
      <c r="C24" s="73"/>
      <c r="D24" s="81"/>
      <c r="E24" s="81"/>
      <c r="F24" s="82"/>
      <c r="G24" s="73"/>
      <c r="H24" s="83"/>
      <c r="I24" s="42"/>
      <c r="U24" s="100" t="s">
        <v>185</v>
      </c>
      <c r="V24" s="100" t="s">
        <v>186</v>
      </c>
      <c r="W24" s="100" t="s">
        <v>187</v>
      </c>
      <c r="X24" s="100" t="s">
        <v>188</v>
      </c>
      <c r="Y24" s="100" t="s">
        <v>189</v>
      </c>
      <c r="Z24" s="100" t="s">
        <v>190</v>
      </c>
      <c r="AA24" s="100" t="s">
        <v>191</v>
      </c>
      <c r="AB24" s="100" t="s">
        <v>192</v>
      </c>
      <c r="AC24" s="100" t="s">
        <v>193</v>
      </c>
      <c r="AD24" s="100" t="s">
        <v>194</v>
      </c>
      <c r="AE24" s="100" t="s">
        <v>195</v>
      </c>
      <c r="AF24" s="100" t="s">
        <v>196</v>
      </c>
      <c r="AG24" s="100" t="s">
        <v>197</v>
      </c>
      <c r="AH24" s="100" t="s">
        <v>198</v>
      </c>
      <c r="AI24" s="100" t="s">
        <v>199</v>
      </c>
    </row>
    <row r="25" spans="1:35" ht="18" customHeight="1" x14ac:dyDescent="0.3">
      <c r="A25" s="37"/>
      <c r="B25" s="11">
        <v>6</v>
      </c>
      <c r="C25" s="12" t="s">
        <v>23</v>
      </c>
      <c r="D25" s="27"/>
      <c r="E25" s="22"/>
      <c r="F25" s="66"/>
      <c r="G25" s="35"/>
      <c r="H25" s="78">
        <f t="shared" si="0"/>
        <v>0</v>
      </c>
      <c r="I25" s="42"/>
      <c r="U25" s="44" t="s">
        <v>200</v>
      </c>
      <c r="V25" s="44">
        <v>0</v>
      </c>
      <c r="W25" s="44">
        <v>0</v>
      </c>
      <c r="X25" s="44">
        <v>0</v>
      </c>
      <c r="Y25" s="44"/>
      <c r="Z25" s="44"/>
      <c r="AA25" s="44"/>
      <c r="AB25" s="44"/>
      <c r="AC25" s="44">
        <v>0</v>
      </c>
      <c r="AD25" s="44">
        <v>0</v>
      </c>
      <c r="AE25" s="44">
        <v>0</v>
      </c>
      <c r="AF25" s="44">
        <v>0</v>
      </c>
      <c r="AG25" s="44">
        <v>0</v>
      </c>
      <c r="AH25" s="44">
        <v>0</v>
      </c>
      <c r="AI25" s="44">
        <v>0</v>
      </c>
    </row>
    <row r="26" spans="1:35" ht="18" customHeight="1" x14ac:dyDescent="0.3">
      <c r="A26" s="37"/>
      <c r="B26" s="11">
        <v>7</v>
      </c>
      <c r="C26" s="12" t="s">
        <v>25</v>
      </c>
      <c r="D26" s="27"/>
      <c r="E26" s="22"/>
      <c r="F26" s="66">
        <v>131</v>
      </c>
      <c r="G26" s="35"/>
      <c r="H26" s="78">
        <f>G26*F26*'Facile Step X3'!W18</f>
        <v>0</v>
      </c>
      <c r="I26" s="42"/>
      <c r="U26" s="44">
        <v>0</v>
      </c>
      <c r="V26" s="44">
        <v>0</v>
      </c>
      <c r="W26" s="44">
        <v>300</v>
      </c>
      <c r="X26" s="44">
        <v>1300</v>
      </c>
      <c r="Y26" s="44"/>
      <c r="Z26" s="44">
        <v>1</v>
      </c>
      <c r="AA26" s="44"/>
      <c r="AB26" s="44"/>
      <c r="AC26" s="44">
        <v>1400</v>
      </c>
      <c r="AD26" s="44">
        <v>100</v>
      </c>
      <c r="AE26" s="44">
        <v>1</v>
      </c>
      <c r="AF26" s="44">
        <v>0</v>
      </c>
      <c r="AG26" s="44">
        <v>3</v>
      </c>
      <c r="AH26" s="44">
        <v>283</v>
      </c>
      <c r="AI26" s="44">
        <v>3</v>
      </c>
    </row>
    <row r="27" spans="1:35" ht="18" customHeight="1" x14ac:dyDescent="0.3">
      <c r="A27" s="37"/>
      <c r="B27" s="80" t="s">
        <v>139</v>
      </c>
      <c r="C27" s="73"/>
      <c r="D27" s="81"/>
      <c r="E27" s="81"/>
      <c r="F27" s="82"/>
      <c r="G27" s="73"/>
      <c r="H27" s="83"/>
      <c r="I27" s="42"/>
      <c r="U27" s="44">
        <v>0.1</v>
      </c>
      <c r="V27" s="44">
        <v>100</v>
      </c>
      <c r="W27" s="44">
        <v>400</v>
      </c>
      <c r="X27" s="44">
        <v>1400</v>
      </c>
      <c r="Y27" s="44"/>
      <c r="Z27" s="44">
        <v>1</v>
      </c>
      <c r="AA27" s="44"/>
      <c r="AB27" s="44"/>
      <c r="AC27" s="44">
        <v>1400</v>
      </c>
      <c r="AD27" s="44">
        <v>0</v>
      </c>
      <c r="AE27" s="44">
        <v>1</v>
      </c>
      <c r="AF27" s="44">
        <v>0</v>
      </c>
      <c r="AG27" s="44">
        <v>3</v>
      </c>
      <c r="AH27" s="44">
        <v>283</v>
      </c>
      <c r="AI27" s="44">
        <v>3</v>
      </c>
    </row>
    <row r="28" spans="1:35" ht="18" customHeight="1" x14ac:dyDescent="0.3">
      <c r="A28" s="37"/>
      <c r="B28" s="11">
        <v>8</v>
      </c>
      <c r="C28" s="12" t="s">
        <v>140</v>
      </c>
      <c r="D28" s="27"/>
      <c r="E28" s="27"/>
      <c r="F28" s="66">
        <v>33.800000000000004</v>
      </c>
      <c r="G28" s="35"/>
      <c r="H28" s="78">
        <f>G28*F28*G26*'Facile Step X3'!W18</f>
        <v>0</v>
      </c>
      <c r="I28" s="42"/>
      <c r="U28" s="44">
        <v>0.2</v>
      </c>
      <c r="V28" s="44">
        <v>200</v>
      </c>
      <c r="W28" s="44">
        <v>500</v>
      </c>
      <c r="X28" s="44">
        <v>1500</v>
      </c>
      <c r="Y28" s="44"/>
      <c r="Z28" s="44"/>
      <c r="AA28" s="44">
        <v>1</v>
      </c>
      <c r="AB28" s="44"/>
      <c r="AC28" s="44">
        <v>1800</v>
      </c>
      <c r="AD28" s="44">
        <v>300</v>
      </c>
      <c r="AE28" s="44">
        <v>1</v>
      </c>
      <c r="AF28" s="44">
        <v>0</v>
      </c>
      <c r="AG28" s="44">
        <v>3</v>
      </c>
      <c r="AH28" s="44">
        <v>352</v>
      </c>
      <c r="AI28" s="44">
        <v>3</v>
      </c>
    </row>
    <row r="29" spans="1:35" ht="18" customHeight="1" x14ac:dyDescent="0.3">
      <c r="A29" s="37"/>
      <c r="B29" s="11">
        <v>9</v>
      </c>
      <c r="C29" s="12" t="s">
        <v>141</v>
      </c>
      <c r="D29" s="27"/>
      <c r="E29" s="27"/>
      <c r="F29" s="66">
        <v>46.800000000000004</v>
      </c>
      <c r="G29" s="35"/>
      <c r="H29" s="78">
        <f>G29*F29*G26*'Facile Step X3'!W18</f>
        <v>0</v>
      </c>
      <c r="I29" s="42"/>
      <c r="U29" s="44">
        <v>0.3</v>
      </c>
      <c r="V29" s="44">
        <v>300</v>
      </c>
      <c r="W29" s="44">
        <v>600</v>
      </c>
      <c r="X29" s="44">
        <v>1600</v>
      </c>
      <c r="Y29" s="44"/>
      <c r="Z29" s="44"/>
      <c r="AA29" s="44">
        <v>1</v>
      </c>
      <c r="AB29" s="44"/>
      <c r="AC29" s="44">
        <v>1800</v>
      </c>
      <c r="AD29" s="44">
        <v>200</v>
      </c>
      <c r="AE29" s="44">
        <v>1</v>
      </c>
      <c r="AF29" s="44">
        <v>0</v>
      </c>
      <c r="AG29" s="44">
        <v>3</v>
      </c>
      <c r="AH29" s="44">
        <v>352</v>
      </c>
      <c r="AI29" s="44">
        <v>3</v>
      </c>
    </row>
    <row r="30" spans="1:35" ht="18" customHeight="1" x14ac:dyDescent="0.3">
      <c r="A30" s="37"/>
      <c r="B30" s="11">
        <v>10</v>
      </c>
      <c r="C30" s="12" t="s">
        <v>142</v>
      </c>
      <c r="D30" s="31"/>
      <c r="E30" s="28"/>
      <c r="F30" s="66">
        <v>829.4</v>
      </c>
      <c r="G30" s="35"/>
      <c r="H30" s="78">
        <f t="shared" si="0"/>
        <v>0</v>
      </c>
      <c r="I30" s="42"/>
      <c r="U30" s="44">
        <v>0.4</v>
      </c>
      <c r="V30" s="44">
        <v>400</v>
      </c>
      <c r="W30" s="44">
        <v>700</v>
      </c>
      <c r="X30" s="44">
        <v>1700</v>
      </c>
      <c r="Y30" s="44"/>
      <c r="Z30" s="44"/>
      <c r="AA30" s="44">
        <v>1</v>
      </c>
      <c r="AB30" s="44"/>
      <c r="AC30" s="44">
        <v>1800</v>
      </c>
      <c r="AD30" s="44">
        <v>100</v>
      </c>
      <c r="AE30" s="44">
        <v>1</v>
      </c>
      <c r="AF30" s="44">
        <v>0</v>
      </c>
      <c r="AG30" s="44">
        <v>3</v>
      </c>
      <c r="AH30" s="44">
        <v>352</v>
      </c>
      <c r="AI30" s="44">
        <v>4</v>
      </c>
    </row>
    <row r="31" spans="1:35" ht="18" customHeight="1" x14ac:dyDescent="0.3">
      <c r="A31" s="37"/>
      <c r="B31" s="11">
        <v>11</v>
      </c>
      <c r="C31" s="12" t="s">
        <v>143</v>
      </c>
      <c r="D31" s="26"/>
      <c r="E31" s="32"/>
      <c r="F31" s="66">
        <v>1225.9000000000001</v>
      </c>
      <c r="G31" s="35"/>
      <c r="H31" s="78">
        <f t="shared" si="0"/>
        <v>0</v>
      </c>
      <c r="I31" s="42"/>
      <c r="U31" s="44">
        <v>0.5</v>
      </c>
      <c r="V31" s="44">
        <v>500</v>
      </c>
      <c r="W31" s="44">
        <v>800</v>
      </c>
      <c r="X31" s="44">
        <v>1800</v>
      </c>
      <c r="Y31" s="44"/>
      <c r="Z31" s="44"/>
      <c r="AA31" s="44">
        <v>1</v>
      </c>
      <c r="AB31" s="44"/>
      <c r="AC31" s="44">
        <v>1800</v>
      </c>
      <c r="AD31" s="44">
        <v>0</v>
      </c>
      <c r="AE31" s="44">
        <v>1</v>
      </c>
      <c r="AF31" s="44">
        <v>0</v>
      </c>
      <c r="AG31" s="44">
        <v>3</v>
      </c>
      <c r="AH31" s="44">
        <v>352</v>
      </c>
      <c r="AI31" s="44">
        <v>4</v>
      </c>
    </row>
    <row r="32" spans="1:35" ht="18" customHeight="1" x14ac:dyDescent="0.3">
      <c r="A32" s="37"/>
      <c r="B32" s="80" t="s">
        <v>42</v>
      </c>
      <c r="C32" s="73"/>
      <c r="D32" s="81"/>
      <c r="E32" s="81"/>
      <c r="F32" s="82"/>
      <c r="G32" s="73"/>
      <c r="H32" s="83"/>
      <c r="I32" s="42"/>
      <c r="U32" s="44">
        <v>0.6</v>
      </c>
      <c r="V32" s="44">
        <v>600</v>
      </c>
      <c r="W32" s="44">
        <v>900</v>
      </c>
      <c r="X32" s="44">
        <v>1900</v>
      </c>
      <c r="Y32" s="44"/>
      <c r="Z32" s="44"/>
      <c r="AA32" s="44"/>
      <c r="AB32" s="44">
        <v>1</v>
      </c>
      <c r="AC32" s="44">
        <v>2200</v>
      </c>
      <c r="AD32" s="44">
        <v>300</v>
      </c>
      <c r="AE32" s="44">
        <v>1</v>
      </c>
      <c r="AF32" s="44">
        <v>0</v>
      </c>
      <c r="AG32" s="44">
        <v>4</v>
      </c>
      <c r="AH32" s="44">
        <v>432</v>
      </c>
      <c r="AI32" s="44">
        <v>4</v>
      </c>
    </row>
    <row r="33" spans="1:35" ht="18" customHeight="1" x14ac:dyDescent="0.3">
      <c r="A33" s="37"/>
      <c r="B33" s="11">
        <v>12</v>
      </c>
      <c r="C33" s="12" t="s">
        <v>43</v>
      </c>
      <c r="D33" s="27"/>
      <c r="E33" s="22" t="s">
        <v>72</v>
      </c>
      <c r="F33" s="66">
        <v>183.3</v>
      </c>
      <c r="G33" s="8"/>
      <c r="H33" s="78">
        <f t="shared" si="0"/>
        <v>0</v>
      </c>
      <c r="I33" s="42"/>
      <c r="U33" s="44">
        <v>0.7</v>
      </c>
      <c r="V33" s="44">
        <v>700</v>
      </c>
      <c r="W33" s="44">
        <v>1000</v>
      </c>
      <c r="X33" s="44">
        <v>2000</v>
      </c>
      <c r="Y33" s="44"/>
      <c r="Z33" s="44"/>
      <c r="AA33" s="44"/>
      <c r="AB33" s="44">
        <v>1</v>
      </c>
      <c r="AC33" s="44">
        <v>2200</v>
      </c>
      <c r="AD33" s="44">
        <v>200</v>
      </c>
      <c r="AE33" s="44">
        <v>1</v>
      </c>
      <c r="AF33" s="44">
        <v>0</v>
      </c>
      <c r="AG33" s="44">
        <v>4</v>
      </c>
      <c r="AH33" s="44">
        <v>432</v>
      </c>
      <c r="AI33" s="44">
        <v>4</v>
      </c>
    </row>
    <row r="34" spans="1:35" ht="18" customHeight="1" x14ac:dyDescent="0.3">
      <c r="A34" s="37"/>
      <c r="B34" s="11">
        <v>13</v>
      </c>
      <c r="C34" s="12" t="s">
        <v>46</v>
      </c>
      <c r="D34" s="27"/>
      <c r="E34" s="22" t="s">
        <v>72</v>
      </c>
      <c r="F34" s="66">
        <v>243.1</v>
      </c>
      <c r="G34" s="8"/>
      <c r="H34" s="78">
        <f t="shared" si="0"/>
        <v>0</v>
      </c>
      <c r="I34" s="42"/>
      <c r="U34" s="44">
        <v>0.8</v>
      </c>
      <c r="V34" s="44">
        <v>800</v>
      </c>
      <c r="W34" s="44">
        <v>1100</v>
      </c>
      <c r="X34" s="44">
        <v>2100</v>
      </c>
      <c r="Y34" s="44"/>
      <c r="Z34" s="44"/>
      <c r="AA34" s="44"/>
      <c r="AB34" s="44">
        <v>1</v>
      </c>
      <c r="AC34" s="44">
        <v>2200</v>
      </c>
      <c r="AD34" s="44">
        <v>100</v>
      </c>
      <c r="AE34" s="44">
        <v>1</v>
      </c>
      <c r="AF34" s="44">
        <v>0</v>
      </c>
      <c r="AG34" s="44">
        <v>4</v>
      </c>
      <c r="AH34" s="44">
        <v>432</v>
      </c>
      <c r="AI34" s="44">
        <v>4</v>
      </c>
    </row>
    <row r="35" spans="1:35" ht="18" customHeight="1" x14ac:dyDescent="0.3">
      <c r="A35" s="37"/>
      <c r="B35" s="11">
        <v>14</v>
      </c>
      <c r="C35" s="12" t="s">
        <v>45</v>
      </c>
      <c r="D35" s="27"/>
      <c r="E35" s="27" t="s">
        <v>72</v>
      </c>
      <c r="F35" s="66">
        <v>39</v>
      </c>
      <c r="G35" s="8"/>
      <c r="H35" s="78">
        <f t="shared" si="0"/>
        <v>0</v>
      </c>
      <c r="I35" s="42"/>
      <c r="U35" s="44">
        <v>0.9</v>
      </c>
      <c r="V35" s="44">
        <v>900</v>
      </c>
      <c r="W35" s="44">
        <v>1200</v>
      </c>
      <c r="X35" s="44">
        <v>2200</v>
      </c>
      <c r="Y35" s="44"/>
      <c r="Z35" s="44"/>
      <c r="AA35" s="44"/>
      <c r="AB35" s="44">
        <v>1</v>
      </c>
      <c r="AC35" s="44">
        <v>2200</v>
      </c>
      <c r="AD35" s="44">
        <v>0</v>
      </c>
      <c r="AE35" s="44">
        <v>1</v>
      </c>
      <c r="AF35" s="44">
        <v>0</v>
      </c>
      <c r="AG35" s="44">
        <v>4</v>
      </c>
      <c r="AH35" s="44">
        <v>432</v>
      </c>
      <c r="AI35" s="44">
        <v>4</v>
      </c>
    </row>
    <row r="36" spans="1:35" ht="18" customHeight="1" x14ac:dyDescent="0.3">
      <c r="A36" s="37"/>
      <c r="B36" s="11">
        <v>15</v>
      </c>
      <c r="C36" s="12" t="s">
        <v>144</v>
      </c>
      <c r="D36" s="27"/>
      <c r="E36" s="22" t="s">
        <v>71</v>
      </c>
      <c r="F36" s="66">
        <v>725.4</v>
      </c>
      <c r="G36" s="8"/>
      <c r="H36" s="78">
        <f t="shared" si="0"/>
        <v>0</v>
      </c>
      <c r="I36" s="42"/>
      <c r="U36" s="44">
        <v>1</v>
      </c>
      <c r="V36" s="44">
        <v>1000</v>
      </c>
      <c r="W36" s="44">
        <v>1300</v>
      </c>
      <c r="X36" s="44">
        <v>2300</v>
      </c>
      <c r="Y36" s="44">
        <v>1</v>
      </c>
      <c r="Z36" s="44">
        <v>1</v>
      </c>
      <c r="AA36" s="44"/>
      <c r="AB36" s="44"/>
      <c r="AC36" s="44">
        <v>2400</v>
      </c>
      <c r="AD36" s="44">
        <v>100</v>
      </c>
      <c r="AE36" s="44">
        <v>2</v>
      </c>
      <c r="AF36" s="44">
        <v>1</v>
      </c>
      <c r="AG36" s="44">
        <v>4</v>
      </c>
      <c r="AH36" s="44">
        <v>536</v>
      </c>
      <c r="AI36" s="44">
        <v>4</v>
      </c>
    </row>
    <row r="37" spans="1:35" ht="18" customHeight="1" x14ac:dyDescent="0.3">
      <c r="A37" s="37"/>
      <c r="B37" s="11">
        <v>16</v>
      </c>
      <c r="C37" s="12" t="s">
        <v>51</v>
      </c>
      <c r="D37" s="27"/>
      <c r="E37" s="27"/>
      <c r="F37" s="66">
        <v>439.40000000000003</v>
      </c>
      <c r="G37" s="35"/>
      <c r="H37" s="78">
        <f t="shared" si="0"/>
        <v>0</v>
      </c>
      <c r="I37" s="42"/>
      <c r="U37" s="44">
        <v>1.1000000000000001</v>
      </c>
      <c r="V37" s="44">
        <v>1100</v>
      </c>
      <c r="W37" s="44">
        <v>1400</v>
      </c>
      <c r="X37" s="44">
        <v>2400</v>
      </c>
      <c r="Y37" s="44">
        <v>1</v>
      </c>
      <c r="Z37" s="44">
        <v>1</v>
      </c>
      <c r="AA37" s="44"/>
      <c r="AB37" s="44"/>
      <c r="AC37" s="44">
        <v>2400</v>
      </c>
      <c r="AD37" s="44">
        <v>0</v>
      </c>
      <c r="AE37" s="44">
        <v>2</v>
      </c>
      <c r="AF37" s="44">
        <v>1</v>
      </c>
      <c r="AG37" s="44">
        <v>4</v>
      </c>
      <c r="AH37" s="44">
        <v>536</v>
      </c>
      <c r="AI37" s="44">
        <v>5</v>
      </c>
    </row>
    <row r="38" spans="1:35" ht="18" customHeight="1" x14ac:dyDescent="0.3">
      <c r="A38" s="37"/>
      <c r="B38" s="13">
        <v>17</v>
      </c>
      <c r="C38" s="14" t="s">
        <v>145</v>
      </c>
      <c r="D38" s="30"/>
      <c r="E38" s="23"/>
      <c r="F38" s="66"/>
      <c r="G38" s="67"/>
      <c r="H38" s="78">
        <f t="shared" si="0"/>
        <v>0</v>
      </c>
      <c r="I38" s="42"/>
      <c r="U38" s="44">
        <v>1.2</v>
      </c>
      <c r="V38" s="44">
        <v>1200</v>
      </c>
      <c r="W38" s="44">
        <v>1500</v>
      </c>
      <c r="X38" s="44">
        <v>2500</v>
      </c>
      <c r="Y38" s="44"/>
      <c r="Z38" s="44">
        <v>2</v>
      </c>
      <c r="AA38" s="44"/>
      <c r="AB38" s="44"/>
      <c r="AC38" s="44">
        <v>2800</v>
      </c>
      <c r="AD38" s="44">
        <v>300</v>
      </c>
      <c r="AE38" s="44">
        <v>2</v>
      </c>
      <c r="AF38" s="44">
        <v>1</v>
      </c>
      <c r="AG38" s="44">
        <v>4</v>
      </c>
      <c r="AH38" s="44">
        <v>605</v>
      </c>
      <c r="AI38" s="44">
        <v>5</v>
      </c>
    </row>
    <row r="39" spans="1:35" ht="18" customHeight="1" x14ac:dyDescent="0.3">
      <c r="A39" s="37"/>
      <c r="B39" s="15"/>
      <c r="C39" s="16" t="s">
        <v>146</v>
      </c>
      <c r="D39" s="33"/>
      <c r="E39" s="24"/>
      <c r="F39" s="66">
        <v>161.20000000000002</v>
      </c>
      <c r="G39" s="35"/>
      <c r="H39" s="78">
        <f t="shared" si="0"/>
        <v>0</v>
      </c>
      <c r="I39" s="42"/>
      <c r="U39" s="44">
        <v>1.3</v>
      </c>
      <c r="V39" s="44">
        <v>1300</v>
      </c>
      <c r="W39" s="44">
        <v>1600</v>
      </c>
      <c r="X39" s="44">
        <v>2600</v>
      </c>
      <c r="Y39" s="44"/>
      <c r="Z39" s="44">
        <v>2</v>
      </c>
      <c r="AA39" s="44"/>
      <c r="AB39" s="44"/>
      <c r="AC39" s="44">
        <v>2800</v>
      </c>
      <c r="AD39" s="44">
        <v>200</v>
      </c>
      <c r="AE39" s="44">
        <v>2</v>
      </c>
      <c r="AF39" s="44">
        <v>1</v>
      </c>
      <c r="AG39" s="44">
        <v>4</v>
      </c>
      <c r="AH39" s="44">
        <v>605</v>
      </c>
      <c r="AI39" s="44">
        <v>5</v>
      </c>
    </row>
    <row r="40" spans="1:35" ht="18" customHeight="1" x14ac:dyDescent="0.3">
      <c r="A40" s="37"/>
      <c r="B40" s="17"/>
      <c r="C40" s="18" t="s">
        <v>147</v>
      </c>
      <c r="D40" s="34"/>
      <c r="E40" s="25"/>
      <c r="F40" s="66">
        <v>161.20000000000002</v>
      </c>
      <c r="G40" s="35"/>
      <c r="H40" s="78">
        <f t="shared" si="0"/>
        <v>0</v>
      </c>
      <c r="I40" s="42"/>
      <c r="U40" s="44">
        <v>1.4</v>
      </c>
      <c r="V40" s="44">
        <v>1400</v>
      </c>
      <c r="W40" s="44">
        <v>1700</v>
      </c>
      <c r="X40" s="44">
        <v>2700</v>
      </c>
      <c r="Y40" s="44"/>
      <c r="Z40" s="44">
        <v>2</v>
      </c>
      <c r="AA40" s="44"/>
      <c r="AB40" s="44"/>
      <c r="AC40" s="44">
        <v>2800</v>
      </c>
      <c r="AD40" s="44">
        <v>100</v>
      </c>
      <c r="AE40" s="44">
        <v>2</v>
      </c>
      <c r="AF40" s="44">
        <v>1</v>
      </c>
      <c r="AG40" s="44">
        <v>5</v>
      </c>
      <c r="AH40" s="44">
        <v>615</v>
      </c>
      <c r="AI40" s="44">
        <v>5</v>
      </c>
    </row>
    <row r="41" spans="1:35" ht="18" customHeight="1" x14ac:dyDescent="0.3">
      <c r="A41" s="37"/>
      <c r="B41" s="13">
        <v>18</v>
      </c>
      <c r="C41" s="14" t="s">
        <v>148</v>
      </c>
      <c r="D41" s="30"/>
      <c r="E41" s="23"/>
      <c r="F41" s="66"/>
      <c r="G41" s="67"/>
      <c r="H41" s="78">
        <f t="shared" si="0"/>
        <v>0</v>
      </c>
      <c r="I41" s="42"/>
      <c r="J41" s="79"/>
      <c r="U41" s="44">
        <v>1.5</v>
      </c>
      <c r="V41" s="44">
        <v>1500</v>
      </c>
      <c r="W41" s="44">
        <v>1800</v>
      </c>
      <c r="X41" s="44">
        <v>2800</v>
      </c>
      <c r="Y41" s="44"/>
      <c r="Z41" s="44">
        <v>2</v>
      </c>
      <c r="AA41" s="44"/>
      <c r="AB41" s="44"/>
      <c r="AC41" s="44">
        <v>2800</v>
      </c>
      <c r="AD41" s="44">
        <v>0</v>
      </c>
      <c r="AE41" s="44">
        <v>2</v>
      </c>
      <c r="AF41" s="44">
        <v>1</v>
      </c>
      <c r="AG41" s="44">
        <v>5</v>
      </c>
      <c r="AH41" s="44">
        <v>615</v>
      </c>
      <c r="AI41" s="44">
        <v>5</v>
      </c>
    </row>
    <row r="42" spans="1:35" ht="18" customHeight="1" x14ac:dyDescent="0.3">
      <c r="A42" s="37"/>
      <c r="B42" s="15"/>
      <c r="C42" s="16" t="s">
        <v>146</v>
      </c>
      <c r="D42" s="33"/>
      <c r="E42" s="24"/>
      <c r="F42" s="66">
        <v>161.20000000000002</v>
      </c>
      <c r="G42" s="35"/>
      <c r="H42" s="78">
        <f t="shared" si="0"/>
        <v>0</v>
      </c>
      <c r="I42" s="42"/>
      <c r="U42" s="44">
        <v>1.6</v>
      </c>
      <c r="V42" s="44">
        <v>1600</v>
      </c>
      <c r="W42" s="44">
        <v>1900</v>
      </c>
      <c r="X42" s="44">
        <v>2900</v>
      </c>
      <c r="Y42" s="44">
        <v>1</v>
      </c>
      <c r="Z42" s="44"/>
      <c r="AA42" s="44"/>
      <c r="AB42" s="44">
        <v>1</v>
      </c>
      <c r="AC42" s="44">
        <v>3200</v>
      </c>
      <c r="AD42" s="44">
        <v>300</v>
      </c>
      <c r="AE42" s="44">
        <v>2</v>
      </c>
      <c r="AF42" s="44">
        <v>1</v>
      </c>
      <c r="AG42" s="44">
        <v>5</v>
      </c>
      <c r="AH42" s="44">
        <v>685</v>
      </c>
      <c r="AI42" s="44">
        <v>5</v>
      </c>
    </row>
    <row r="43" spans="1:35" ht="18" customHeight="1" x14ac:dyDescent="0.3">
      <c r="A43" s="37"/>
      <c r="B43" s="17"/>
      <c r="C43" s="18" t="s">
        <v>147</v>
      </c>
      <c r="D43" s="34"/>
      <c r="E43" s="25"/>
      <c r="F43" s="66">
        <v>161.20000000000002</v>
      </c>
      <c r="G43" s="35"/>
      <c r="H43" s="78">
        <f t="shared" si="0"/>
        <v>0</v>
      </c>
      <c r="I43" s="42"/>
      <c r="U43" s="44">
        <v>1.7</v>
      </c>
      <c r="V43" s="44">
        <v>1700</v>
      </c>
      <c r="W43" s="44">
        <v>2000</v>
      </c>
      <c r="X43" s="44">
        <v>3000</v>
      </c>
      <c r="Y43" s="44">
        <v>1</v>
      </c>
      <c r="Z43" s="44"/>
      <c r="AA43" s="44"/>
      <c r="AB43" s="44">
        <v>1</v>
      </c>
      <c r="AC43" s="44">
        <v>3200</v>
      </c>
      <c r="AD43" s="44">
        <v>200</v>
      </c>
      <c r="AE43" s="44">
        <v>2</v>
      </c>
      <c r="AF43" s="44">
        <v>1</v>
      </c>
      <c r="AG43" s="44">
        <v>5</v>
      </c>
      <c r="AH43" s="44">
        <v>685</v>
      </c>
      <c r="AI43" s="44">
        <v>5</v>
      </c>
    </row>
    <row r="44" spans="1:35" ht="18" customHeight="1" x14ac:dyDescent="0.3">
      <c r="A44" s="37"/>
      <c r="B44" s="11">
        <v>20</v>
      </c>
      <c r="C44" s="12" t="s">
        <v>149</v>
      </c>
      <c r="D44" s="27"/>
      <c r="E44" s="22"/>
      <c r="F44" s="66">
        <v>312</v>
      </c>
      <c r="G44" s="35"/>
      <c r="H44" s="78">
        <f t="shared" si="0"/>
        <v>0</v>
      </c>
      <c r="I44" s="42"/>
      <c r="U44" s="44">
        <v>1.8</v>
      </c>
      <c r="V44" s="44">
        <v>1800</v>
      </c>
      <c r="W44" s="44">
        <v>2100</v>
      </c>
      <c r="X44" s="44">
        <v>3100</v>
      </c>
      <c r="Y44" s="44">
        <v>1</v>
      </c>
      <c r="Z44" s="44"/>
      <c r="AA44" s="44"/>
      <c r="AB44" s="44">
        <v>1</v>
      </c>
      <c r="AC44" s="44">
        <v>3200</v>
      </c>
      <c r="AD44" s="44">
        <v>100</v>
      </c>
      <c r="AE44" s="44">
        <v>2</v>
      </c>
      <c r="AF44" s="44">
        <v>1</v>
      </c>
      <c r="AG44" s="44">
        <v>5</v>
      </c>
      <c r="AH44" s="44">
        <v>685</v>
      </c>
      <c r="AI44" s="44">
        <v>6</v>
      </c>
    </row>
    <row r="45" spans="1:35" ht="18" customHeight="1" x14ac:dyDescent="0.3">
      <c r="A45" s="37"/>
      <c r="B45" s="11">
        <v>21</v>
      </c>
      <c r="C45" s="12" t="s">
        <v>150</v>
      </c>
      <c r="D45" s="27"/>
      <c r="E45" s="27"/>
      <c r="F45" s="66">
        <v>343.2</v>
      </c>
      <c r="G45" s="35"/>
      <c r="H45" s="78">
        <f t="shared" si="0"/>
        <v>0</v>
      </c>
      <c r="I45" s="42"/>
      <c r="U45" s="44">
        <v>1.9</v>
      </c>
      <c r="V45" s="44">
        <v>1900</v>
      </c>
      <c r="W45" s="44">
        <v>2200</v>
      </c>
      <c r="X45" s="44">
        <v>3200</v>
      </c>
      <c r="Y45" s="44">
        <v>1</v>
      </c>
      <c r="Z45" s="44"/>
      <c r="AA45" s="44"/>
      <c r="AB45" s="44">
        <v>1</v>
      </c>
      <c r="AC45" s="44">
        <v>3200</v>
      </c>
      <c r="AD45" s="44">
        <v>0</v>
      </c>
      <c r="AE45" s="44">
        <v>2</v>
      </c>
      <c r="AF45" s="44">
        <v>1</v>
      </c>
      <c r="AG45" s="44">
        <v>5</v>
      </c>
      <c r="AH45" s="44">
        <v>685</v>
      </c>
      <c r="AI45" s="44">
        <v>6</v>
      </c>
    </row>
    <row r="46" spans="1:35" ht="18" customHeight="1" x14ac:dyDescent="0.3">
      <c r="A46" s="37"/>
      <c r="B46" s="11">
        <v>22</v>
      </c>
      <c r="C46" s="12" t="s">
        <v>151</v>
      </c>
      <c r="D46" s="27"/>
      <c r="E46" s="27"/>
      <c r="F46" s="66">
        <v>445.90000000000003</v>
      </c>
      <c r="G46" s="35"/>
      <c r="H46" s="78">
        <f t="shared" si="0"/>
        <v>0</v>
      </c>
      <c r="I46" s="42"/>
      <c r="U46" s="44">
        <v>2</v>
      </c>
      <c r="V46" s="44">
        <v>2000</v>
      </c>
      <c r="W46" s="44">
        <v>2300</v>
      </c>
      <c r="X46" s="44">
        <v>3300</v>
      </c>
      <c r="Y46" s="44"/>
      <c r="Z46" s="44">
        <v>1</v>
      </c>
      <c r="AA46" s="44"/>
      <c r="AB46" s="44">
        <v>1</v>
      </c>
      <c r="AC46" s="44">
        <v>3600</v>
      </c>
      <c r="AD46" s="44">
        <v>300</v>
      </c>
      <c r="AE46" s="44">
        <v>2</v>
      </c>
      <c r="AF46" s="44">
        <v>1</v>
      </c>
      <c r="AG46" s="44">
        <v>5</v>
      </c>
      <c r="AH46" s="44">
        <v>754</v>
      </c>
      <c r="AI46" s="44">
        <v>6</v>
      </c>
    </row>
    <row r="47" spans="1:35" ht="18" customHeight="1" x14ac:dyDescent="0.3">
      <c r="A47" s="37"/>
      <c r="B47" s="11">
        <v>23</v>
      </c>
      <c r="C47" s="12" t="s">
        <v>48</v>
      </c>
      <c r="D47" s="27"/>
      <c r="E47" s="22"/>
      <c r="F47" s="66">
        <v>2055.3000000000002</v>
      </c>
      <c r="G47" s="35"/>
      <c r="H47" s="78">
        <f t="shared" si="0"/>
        <v>0</v>
      </c>
      <c r="I47" s="42"/>
      <c r="U47" s="44">
        <v>2.1</v>
      </c>
      <c r="V47" s="44">
        <v>2100</v>
      </c>
      <c r="W47" s="44">
        <v>2400</v>
      </c>
      <c r="X47" s="44">
        <v>3400</v>
      </c>
      <c r="Y47" s="44"/>
      <c r="Z47" s="44">
        <v>1</v>
      </c>
      <c r="AA47" s="44"/>
      <c r="AB47" s="44">
        <v>1</v>
      </c>
      <c r="AC47" s="44">
        <v>3600</v>
      </c>
      <c r="AD47" s="44">
        <v>200</v>
      </c>
      <c r="AE47" s="44">
        <v>2</v>
      </c>
      <c r="AF47" s="44">
        <v>1</v>
      </c>
      <c r="AG47" s="44">
        <v>6</v>
      </c>
      <c r="AH47" s="44">
        <v>764</v>
      </c>
      <c r="AI47" s="44">
        <v>6</v>
      </c>
    </row>
    <row r="48" spans="1:35" ht="18" customHeight="1" x14ac:dyDescent="0.3">
      <c r="A48" s="37"/>
      <c r="B48" s="11">
        <v>24</v>
      </c>
      <c r="C48" s="12" t="s">
        <v>152</v>
      </c>
      <c r="D48" s="27"/>
      <c r="E48" s="27"/>
      <c r="F48" s="66">
        <v>210.6</v>
      </c>
      <c r="G48" s="35"/>
      <c r="H48" s="78">
        <f t="shared" si="0"/>
        <v>0</v>
      </c>
      <c r="I48" s="42"/>
      <c r="U48" s="44">
        <v>2.2000000000000002</v>
      </c>
      <c r="V48" s="44">
        <v>2200</v>
      </c>
      <c r="W48" s="44">
        <v>2500</v>
      </c>
      <c r="X48" s="44">
        <v>3500</v>
      </c>
      <c r="Y48" s="44"/>
      <c r="Z48" s="44">
        <v>1</v>
      </c>
      <c r="AA48" s="44"/>
      <c r="AB48" s="44">
        <v>1</v>
      </c>
      <c r="AC48" s="44">
        <v>3600</v>
      </c>
      <c r="AD48" s="44">
        <v>100</v>
      </c>
      <c r="AE48" s="44">
        <v>2</v>
      </c>
      <c r="AF48" s="44">
        <v>1</v>
      </c>
      <c r="AG48" s="44">
        <v>6</v>
      </c>
      <c r="AH48" s="44">
        <v>764</v>
      </c>
      <c r="AI48" s="44">
        <v>6</v>
      </c>
    </row>
    <row r="49" spans="1:35" ht="18" customHeight="1" x14ac:dyDescent="0.3">
      <c r="A49" s="37"/>
      <c r="B49" s="11">
        <v>25</v>
      </c>
      <c r="C49" s="12" t="s">
        <v>153</v>
      </c>
      <c r="D49" s="27"/>
      <c r="E49" s="27" t="s">
        <v>72</v>
      </c>
      <c r="F49" s="66">
        <v>15.600000000000001</v>
      </c>
      <c r="G49" s="8"/>
      <c r="H49" s="78">
        <f t="shared" si="0"/>
        <v>0</v>
      </c>
      <c r="I49" s="42"/>
      <c r="U49" s="44">
        <v>2.2999999999999998</v>
      </c>
      <c r="V49" s="44">
        <v>2300</v>
      </c>
      <c r="W49" s="44">
        <v>2600</v>
      </c>
      <c r="X49" s="44">
        <v>3600</v>
      </c>
      <c r="Y49" s="44"/>
      <c r="Z49" s="44">
        <v>1</v>
      </c>
      <c r="AA49" s="44"/>
      <c r="AB49" s="44">
        <v>1</v>
      </c>
      <c r="AC49" s="44">
        <v>3600</v>
      </c>
      <c r="AD49" s="44">
        <v>0</v>
      </c>
      <c r="AE49" s="44">
        <v>2</v>
      </c>
      <c r="AF49" s="44">
        <v>1</v>
      </c>
      <c r="AG49" s="44">
        <v>6</v>
      </c>
      <c r="AH49" s="44">
        <v>764</v>
      </c>
      <c r="AI49" s="44">
        <v>6</v>
      </c>
    </row>
    <row r="50" spans="1:35" ht="18" customHeight="1" x14ac:dyDescent="0.3">
      <c r="A50" s="37"/>
      <c r="B50" s="11" t="s">
        <v>154</v>
      </c>
      <c r="C50" s="12" t="s">
        <v>155</v>
      </c>
      <c r="D50" s="27"/>
      <c r="E50" s="27"/>
      <c r="F50" s="66">
        <v>603.20000000000005</v>
      </c>
      <c r="G50" s="35"/>
      <c r="H50" s="78">
        <f t="shared" si="0"/>
        <v>0</v>
      </c>
      <c r="I50" s="42"/>
      <c r="U50" s="44">
        <v>2.4</v>
      </c>
      <c r="V50" s="44">
        <v>2400</v>
      </c>
      <c r="W50" s="44">
        <v>2700</v>
      </c>
      <c r="X50" s="44">
        <v>3700</v>
      </c>
      <c r="Y50" s="44"/>
      <c r="Z50" s="44"/>
      <c r="AA50" s="44">
        <v>1</v>
      </c>
      <c r="AB50" s="44">
        <v>1</v>
      </c>
      <c r="AC50" s="44">
        <v>4000</v>
      </c>
      <c r="AD50" s="44">
        <v>300</v>
      </c>
      <c r="AE50" s="44">
        <v>2</v>
      </c>
      <c r="AF50" s="44">
        <v>1</v>
      </c>
      <c r="AG50" s="44">
        <v>6</v>
      </c>
      <c r="AH50" s="44">
        <v>833</v>
      </c>
      <c r="AI50" s="44">
        <v>7</v>
      </c>
    </row>
    <row r="51" spans="1:35" ht="18" customHeight="1" x14ac:dyDescent="0.3">
      <c r="A51" s="37"/>
      <c r="B51" s="11" t="s">
        <v>156</v>
      </c>
      <c r="C51" s="12" t="s">
        <v>157</v>
      </c>
      <c r="D51" s="27"/>
      <c r="E51" s="27"/>
      <c r="F51" s="66">
        <v>143</v>
      </c>
      <c r="G51" s="35"/>
      <c r="H51" s="78">
        <f t="shared" si="0"/>
        <v>0</v>
      </c>
      <c r="I51" s="42"/>
      <c r="U51" s="44">
        <v>2.5</v>
      </c>
      <c r="V51" s="44">
        <v>2500</v>
      </c>
      <c r="W51" s="44">
        <v>2800</v>
      </c>
      <c r="X51" s="44">
        <v>3800</v>
      </c>
      <c r="Y51" s="44"/>
      <c r="Z51" s="44"/>
      <c r="AA51" s="44">
        <v>1</v>
      </c>
      <c r="AB51" s="44">
        <v>1</v>
      </c>
      <c r="AC51" s="44">
        <v>4000</v>
      </c>
      <c r="AD51" s="44">
        <v>200</v>
      </c>
      <c r="AE51" s="44">
        <v>2</v>
      </c>
      <c r="AF51" s="44">
        <v>1</v>
      </c>
      <c r="AG51" s="44">
        <v>6</v>
      </c>
      <c r="AH51" s="44">
        <v>833</v>
      </c>
      <c r="AI51" s="44">
        <v>7</v>
      </c>
    </row>
    <row r="52" spans="1:35" ht="18" customHeight="1" x14ac:dyDescent="0.3">
      <c r="A52" s="37"/>
      <c r="B52" s="11">
        <v>26</v>
      </c>
      <c r="C52" s="12" t="s">
        <v>106</v>
      </c>
      <c r="D52" s="27"/>
      <c r="E52" s="22"/>
      <c r="F52" s="66"/>
      <c r="G52" s="35"/>
      <c r="H52" s="78">
        <f t="shared" si="0"/>
        <v>0</v>
      </c>
      <c r="I52" s="42"/>
      <c r="U52" s="44">
        <v>2.6</v>
      </c>
      <c r="V52" s="44">
        <v>2600</v>
      </c>
      <c r="W52" s="44">
        <v>2900</v>
      </c>
      <c r="X52" s="44">
        <v>3900</v>
      </c>
      <c r="Y52" s="44"/>
      <c r="Z52" s="44"/>
      <c r="AA52" s="44">
        <v>1</v>
      </c>
      <c r="AB52" s="44">
        <v>1</v>
      </c>
      <c r="AC52" s="44">
        <v>4000</v>
      </c>
      <c r="AD52" s="44">
        <v>100</v>
      </c>
      <c r="AE52" s="44">
        <v>2</v>
      </c>
      <c r="AF52" s="44">
        <v>1</v>
      </c>
      <c r="AG52" s="44">
        <v>6</v>
      </c>
      <c r="AH52" s="44">
        <v>833</v>
      </c>
      <c r="AI52" s="44">
        <v>7</v>
      </c>
    </row>
    <row r="53" spans="1:35" ht="18" customHeight="1" x14ac:dyDescent="0.3">
      <c r="A53" s="37"/>
      <c r="B53" s="72"/>
      <c r="C53" s="73"/>
      <c r="D53" s="74"/>
      <c r="E53" s="74"/>
      <c r="F53" s="75"/>
      <c r="G53" s="76"/>
      <c r="H53" s="77"/>
      <c r="I53" s="42"/>
      <c r="U53" s="44">
        <v>2.7</v>
      </c>
      <c r="V53" s="44">
        <v>2700</v>
      </c>
      <c r="W53" s="44">
        <v>3000</v>
      </c>
      <c r="X53" s="44">
        <v>4000</v>
      </c>
      <c r="Y53" s="44"/>
      <c r="Z53" s="44"/>
      <c r="AA53" s="44">
        <v>1</v>
      </c>
      <c r="AB53" s="44">
        <v>1</v>
      </c>
      <c r="AC53" s="44">
        <v>4000</v>
      </c>
      <c r="AD53" s="44">
        <v>0</v>
      </c>
      <c r="AE53" s="44">
        <v>2</v>
      </c>
      <c r="AF53" s="44">
        <v>1</v>
      </c>
      <c r="AG53" s="44">
        <v>6</v>
      </c>
      <c r="AH53" s="44">
        <v>833</v>
      </c>
      <c r="AI53" s="44">
        <v>7</v>
      </c>
    </row>
    <row r="54" spans="1:35" ht="18" customHeight="1" x14ac:dyDescent="0.3">
      <c r="A54" s="37"/>
      <c r="B54" s="63">
        <v>27</v>
      </c>
      <c r="C54" s="68" t="s">
        <v>118</v>
      </c>
      <c r="D54" s="69"/>
      <c r="E54" s="70"/>
      <c r="F54" s="71">
        <v>750</v>
      </c>
      <c r="G54" s="35"/>
      <c r="H54" s="62">
        <f>F54*G54</f>
        <v>0</v>
      </c>
      <c r="I54" s="42"/>
      <c r="U54" s="44">
        <v>2.8</v>
      </c>
      <c r="V54" s="44">
        <v>2800</v>
      </c>
      <c r="W54" s="44">
        <v>3100</v>
      </c>
      <c r="X54" s="44">
        <v>4100</v>
      </c>
      <c r="Y54" s="44"/>
      <c r="Z54" s="44"/>
      <c r="AA54" s="44"/>
      <c r="AB54" s="44">
        <v>2</v>
      </c>
      <c r="AC54" s="44">
        <v>4400</v>
      </c>
      <c r="AD54" s="44">
        <v>300</v>
      </c>
      <c r="AE54" s="44">
        <v>2</v>
      </c>
      <c r="AF54" s="44">
        <v>1</v>
      </c>
      <c r="AG54" s="44">
        <v>6</v>
      </c>
      <c r="AH54" s="44">
        <v>903</v>
      </c>
      <c r="AI54" s="44">
        <v>7</v>
      </c>
    </row>
    <row r="55" spans="1:35" ht="18" customHeight="1" x14ac:dyDescent="0.3">
      <c r="A55" s="37"/>
      <c r="B55" s="63">
        <v>28</v>
      </c>
      <c r="C55" s="64" t="s">
        <v>208</v>
      </c>
      <c r="D55" s="64"/>
      <c r="E55" s="65"/>
      <c r="F55" s="66">
        <v>500</v>
      </c>
      <c r="G55" s="67">
        <v>1</v>
      </c>
      <c r="H55" s="62"/>
      <c r="I55" s="42"/>
      <c r="U55" s="44">
        <v>2.9</v>
      </c>
      <c r="V55" s="44">
        <v>2900</v>
      </c>
      <c r="W55" s="44">
        <v>3200</v>
      </c>
      <c r="X55" s="44">
        <v>4200</v>
      </c>
      <c r="Y55" s="44"/>
      <c r="Z55" s="44"/>
      <c r="AA55" s="44"/>
      <c r="AB55" s="44">
        <v>2</v>
      </c>
      <c r="AC55" s="44">
        <v>4400</v>
      </c>
      <c r="AD55" s="44">
        <v>200</v>
      </c>
      <c r="AE55" s="44">
        <v>2</v>
      </c>
      <c r="AF55" s="44">
        <v>1</v>
      </c>
      <c r="AG55" s="44">
        <v>7</v>
      </c>
      <c r="AH55" s="44">
        <v>913</v>
      </c>
      <c r="AI55" s="44">
        <v>7</v>
      </c>
    </row>
    <row r="56" spans="1:35" ht="18" customHeight="1" x14ac:dyDescent="0.3">
      <c r="A56" s="37"/>
      <c r="B56" s="63">
        <v>29</v>
      </c>
      <c r="C56" s="64" t="s">
        <v>209</v>
      </c>
      <c r="D56" s="64"/>
      <c r="E56" s="65"/>
      <c r="F56" s="66">
        <v>800</v>
      </c>
      <c r="G56" s="67">
        <v>1</v>
      </c>
      <c r="H56" s="62"/>
      <c r="I56" s="42"/>
      <c r="U56" s="44">
        <v>3</v>
      </c>
      <c r="V56" s="44">
        <v>3000</v>
      </c>
      <c r="W56" s="44">
        <v>3300</v>
      </c>
      <c r="X56" s="44">
        <v>4300</v>
      </c>
      <c r="Y56" s="44"/>
      <c r="Z56" s="44"/>
      <c r="AA56" s="44"/>
      <c r="AB56" s="44">
        <v>2</v>
      </c>
      <c r="AC56" s="44">
        <v>4400</v>
      </c>
      <c r="AD56" s="44">
        <v>100</v>
      </c>
      <c r="AE56" s="44">
        <v>2</v>
      </c>
      <c r="AF56" s="44">
        <v>1</v>
      </c>
      <c r="AG56" s="44">
        <v>7</v>
      </c>
      <c r="AH56" s="44">
        <v>913</v>
      </c>
      <c r="AI56" s="44">
        <v>7</v>
      </c>
    </row>
    <row r="57" spans="1:35" ht="18" customHeight="1" x14ac:dyDescent="0.3">
      <c r="A57" s="37"/>
      <c r="B57" s="63">
        <v>30</v>
      </c>
      <c r="C57" s="64" t="s">
        <v>120</v>
      </c>
      <c r="D57" s="64"/>
      <c r="E57" s="65"/>
      <c r="F57" s="66">
        <f>G57*0.05*(SUM(H6:H54)+F55+F56)</f>
        <v>0</v>
      </c>
      <c r="G57" s="35"/>
      <c r="H57" s="62"/>
      <c r="I57" s="42"/>
      <c r="U57" s="44">
        <v>3.1</v>
      </c>
      <c r="V57" s="44">
        <v>3100</v>
      </c>
      <c r="W57" s="44">
        <v>3400</v>
      </c>
      <c r="X57" s="44">
        <v>4400</v>
      </c>
      <c r="Y57" s="44"/>
      <c r="Z57" s="44"/>
      <c r="AA57" s="44"/>
      <c r="AB57" s="44">
        <v>2</v>
      </c>
      <c r="AC57" s="44">
        <v>4400</v>
      </c>
      <c r="AD57" s="44">
        <v>0</v>
      </c>
      <c r="AE57" s="44">
        <v>2</v>
      </c>
      <c r="AF57" s="44">
        <v>1</v>
      </c>
      <c r="AG57" s="44">
        <v>7</v>
      </c>
      <c r="AH57" s="44">
        <v>913</v>
      </c>
      <c r="AI57" s="44">
        <v>8</v>
      </c>
    </row>
    <row r="58" spans="1:35" ht="19.2" customHeight="1" x14ac:dyDescent="0.3">
      <c r="A58" s="37"/>
      <c r="B58" s="38"/>
      <c r="C58" s="39"/>
      <c r="D58" s="39"/>
      <c r="E58" s="38"/>
      <c r="F58" s="57"/>
      <c r="G58" s="48"/>
      <c r="H58" s="49"/>
      <c r="I58" s="42"/>
      <c r="U58" s="44">
        <v>3.2</v>
      </c>
      <c r="V58" s="44">
        <v>3200</v>
      </c>
      <c r="W58" s="44">
        <v>3500</v>
      </c>
      <c r="X58" s="44">
        <v>4500</v>
      </c>
      <c r="Y58" s="44"/>
      <c r="Z58" s="44">
        <v>2</v>
      </c>
      <c r="AA58" s="44">
        <v>1</v>
      </c>
      <c r="AB58" s="44"/>
      <c r="AC58" s="44">
        <v>4600</v>
      </c>
      <c r="AD58" s="44">
        <v>100</v>
      </c>
      <c r="AE58" s="44">
        <v>3</v>
      </c>
      <c r="AF58" s="44">
        <v>2</v>
      </c>
      <c r="AG58" s="44">
        <v>7</v>
      </c>
      <c r="AH58" s="44">
        <v>1016</v>
      </c>
      <c r="AI58" s="44">
        <v>8</v>
      </c>
    </row>
    <row r="59" spans="1:35" ht="30.6" customHeight="1" x14ac:dyDescent="0.3">
      <c r="A59" s="37"/>
      <c r="B59" s="38"/>
      <c r="C59" s="39"/>
      <c r="D59" s="285" t="s">
        <v>115</v>
      </c>
      <c r="E59" s="286"/>
      <c r="F59" s="287"/>
      <c r="G59" s="58">
        <f>SUM(H6:H54)+F57+F55+F56</f>
        <v>11462.1</v>
      </c>
      <c r="H59" s="59"/>
      <c r="I59" s="42"/>
      <c r="U59" s="44">
        <v>3.3</v>
      </c>
      <c r="V59" s="44">
        <v>3300</v>
      </c>
      <c r="W59" s="44">
        <v>3600</v>
      </c>
      <c r="X59" s="44">
        <v>4600</v>
      </c>
      <c r="Y59" s="44"/>
      <c r="Z59" s="44">
        <v>2</v>
      </c>
      <c r="AA59" s="44">
        <v>1</v>
      </c>
      <c r="AB59" s="44"/>
      <c r="AC59" s="44">
        <v>4600</v>
      </c>
      <c r="AD59" s="44">
        <v>0</v>
      </c>
      <c r="AE59" s="44">
        <v>3</v>
      </c>
      <c r="AF59" s="44">
        <v>2</v>
      </c>
      <c r="AG59" s="44">
        <v>7</v>
      </c>
      <c r="AH59" s="44">
        <v>1016</v>
      </c>
      <c r="AI59" s="44">
        <v>8</v>
      </c>
    </row>
    <row r="60" spans="1:35" ht="5.4" customHeight="1" x14ac:dyDescent="0.3">
      <c r="A60" s="37"/>
      <c r="B60" s="38"/>
      <c r="C60" s="39"/>
      <c r="D60" s="161"/>
      <c r="E60" s="164"/>
      <c r="F60" s="164"/>
      <c r="G60" s="60"/>
      <c r="H60" s="59"/>
      <c r="I60" s="42"/>
      <c r="U60" s="44">
        <v>3.4</v>
      </c>
      <c r="V60" s="44">
        <v>3400</v>
      </c>
      <c r="W60" s="44">
        <v>3700</v>
      </c>
      <c r="X60" s="44">
        <v>4700</v>
      </c>
      <c r="Y60" s="44"/>
      <c r="Z60" s="44">
        <v>2</v>
      </c>
      <c r="AA60" s="44"/>
      <c r="AB60" s="44">
        <v>1</v>
      </c>
      <c r="AC60" s="44">
        <v>5000</v>
      </c>
      <c r="AD60" s="44">
        <v>300</v>
      </c>
      <c r="AE60" s="44">
        <v>3</v>
      </c>
      <c r="AF60" s="44">
        <v>2</v>
      </c>
      <c r="AG60" s="44">
        <v>7</v>
      </c>
      <c r="AH60" s="44">
        <v>1086</v>
      </c>
      <c r="AI60" s="44">
        <v>8</v>
      </c>
    </row>
    <row r="61" spans="1:35" ht="22.8" customHeight="1" x14ac:dyDescent="0.35">
      <c r="A61" s="37"/>
      <c r="B61" s="38"/>
      <c r="C61" s="39"/>
      <c r="D61" s="288" t="s">
        <v>114</v>
      </c>
      <c r="E61" s="289"/>
      <c r="F61" s="275">
        <v>0.15</v>
      </c>
      <c r="G61" s="61">
        <f>-(G59*G62)</f>
        <v>0</v>
      </c>
      <c r="H61" s="274" t="str">
        <f>IF(G62&gt;15%,"ATTENZIONE!","")</f>
        <v/>
      </c>
      <c r="I61" s="42"/>
      <c r="U61" s="44">
        <v>3.5</v>
      </c>
      <c r="V61" s="44">
        <v>3500</v>
      </c>
      <c r="W61" s="44">
        <v>3800</v>
      </c>
      <c r="X61" s="44">
        <v>4800</v>
      </c>
      <c r="Y61" s="44"/>
      <c r="Z61" s="44">
        <v>2</v>
      </c>
      <c r="AA61" s="44"/>
      <c r="AB61" s="44">
        <v>1</v>
      </c>
      <c r="AC61" s="44">
        <v>5000</v>
      </c>
      <c r="AD61" s="44">
        <v>200</v>
      </c>
      <c r="AE61" s="44">
        <v>3</v>
      </c>
      <c r="AF61" s="44">
        <v>2</v>
      </c>
      <c r="AG61" s="44">
        <v>7</v>
      </c>
      <c r="AH61" s="44">
        <v>1086</v>
      </c>
      <c r="AI61" s="44">
        <v>8</v>
      </c>
    </row>
    <row r="62" spans="1:35" ht="24.6" customHeight="1" x14ac:dyDescent="0.3">
      <c r="A62" s="37"/>
      <c r="B62" s="38"/>
      <c r="C62" s="39"/>
      <c r="D62" s="244"/>
      <c r="E62" s="154"/>
      <c r="F62" s="127"/>
      <c r="G62" s="10">
        <v>0</v>
      </c>
      <c r="H62" s="273" t="str">
        <f>IF(G62&gt;15%,"SUPERATO LO SCONTO MASSIMO","")</f>
        <v/>
      </c>
      <c r="I62" s="42"/>
      <c r="U62" s="44">
        <v>3.6</v>
      </c>
      <c r="V62" s="44">
        <v>3600</v>
      </c>
      <c r="W62" s="44">
        <v>3900</v>
      </c>
      <c r="X62" s="44">
        <v>4900</v>
      </c>
      <c r="Y62" s="44"/>
      <c r="Z62" s="44">
        <v>2</v>
      </c>
      <c r="AA62" s="44"/>
      <c r="AB62" s="44">
        <v>1</v>
      </c>
      <c r="AC62" s="44">
        <v>5000</v>
      </c>
      <c r="AD62" s="44">
        <v>100</v>
      </c>
      <c r="AE62" s="44">
        <v>3</v>
      </c>
      <c r="AF62" s="44">
        <v>2</v>
      </c>
      <c r="AG62" s="44">
        <v>8</v>
      </c>
      <c r="AH62" s="44">
        <v>1096</v>
      </c>
      <c r="AI62" s="44">
        <v>8</v>
      </c>
    </row>
    <row r="63" spans="1:35" ht="7.8" customHeight="1" x14ac:dyDescent="0.3">
      <c r="A63" s="37"/>
      <c r="B63" s="38"/>
      <c r="C63" s="39"/>
      <c r="D63" s="234"/>
      <c r="E63" s="127"/>
      <c r="F63" s="135"/>
      <c r="G63" s="41"/>
      <c r="H63" s="40"/>
      <c r="I63" s="42"/>
      <c r="U63" s="44">
        <v>3.7</v>
      </c>
      <c r="V63" s="44">
        <v>3700</v>
      </c>
      <c r="W63" s="44">
        <v>4000</v>
      </c>
      <c r="X63" s="44">
        <v>5000</v>
      </c>
      <c r="Y63" s="44">
        <v>1</v>
      </c>
      <c r="Z63" s="44"/>
      <c r="AA63" s="44">
        <v>1</v>
      </c>
      <c r="AB63" s="44">
        <v>1</v>
      </c>
      <c r="AC63" s="44">
        <v>5000</v>
      </c>
      <c r="AD63" s="44">
        <v>0</v>
      </c>
      <c r="AE63" s="44">
        <v>3</v>
      </c>
      <c r="AF63" s="44">
        <v>2</v>
      </c>
      <c r="AG63" s="44">
        <v>8</v>
      </c>
      <c r="AH63" s="44">
        <v>1096</v>
      </c>
      <c r="AI63" s="44">
        <v>8</v>
      </c>
    </row>
    <row r="64" spans="1:35" ht="38.4" customHeight="1" x14ac:dyDescent="0.3">
      <c r="A64" s="37"/>
      <c r="B64" s="38"/>
      <c r="C64" s="38"/>
      <c r="D64" s="290" t="s">
        <v>204</v>
      </c>
      <c r="E64" s="291"/>
      <c r="F64" s="292"/>
      <c r="G64" s="45">
        <f>G59*(1-G62)</f>
        <v>11462.1</v>
      </c>
      <c r="H64" s="46" t="str">
        <f>"+ IVA 4% = "&amp;G64*1.04</f>
        <v>+ IVA 4% = 11920,584</v>
      </c>
      <c r="I64" s="47"/>
      <c r="U64" s="44">
        <v>3.8</v>
      </c>
      <c r="V64" s="44">
        <v>3800</v>
      </c>
      <c r="W64" s="44">
        <v>4100</v>
      </c>
      <c r="X64" s="44">
        <v>5100</v>
      </c>
      <c r="Y64" s="44">
        <v>3</v>
      </c>
      <c r="Z64" s="44"/>
      <c r="AA64" s="44"/>
      <c r="AB64" s="44">
        <v>1</v>
      </c>
      <c r="AC64" s="44">
        <v>5200</v>
      </c>
      <c r="AD64" s="44">
        <v>100</v>
      </c>
      <c r="AE64" s="44">
        <v>4</v>
      </c>
      <c r="AF64" s="44">
        <v>3</v>
      </c>
      <c r="AG64" s="44">
        <v>8</v>
      </c>
      <c r="AH64" s="44">
        <v>1201</v>
      </c>
      <c r="AI64" s="44">
        <v>9</v>
      </c>
    </row>
    <row r="65" spans="1:35" x14ac:dyDescent="0.3">
      <c r="A65" s="37"/>
      <c r="B65" s="38"/>
      <c r="C65" s="38"/>
      <c r="D65" s="38"/>
      <c r="E65" s="38"/>
      <c r="F65" s="38"/>
      <c r="G65" s="48"/>
      <c r="H65" s="49"/>
      <c r="I65" s="42"/>
      <c r="U65" s="44">
        <v>3.9</v>
      </c>
      <c r="V65" s="44">
        <v>3900</v>
      </c>
      <c r="W65" s="44">
        <v>4200</v>
      </c>
      <c r="X65" s="44">
        <v>5200</v>
      </c>
      <c r="Y65" s="44">
        <v>3</v>
      </c>
      <c r="Z65" s="44"/>
      <c r="AA65" s="44"/>
      <c r="AB65" s="44">
        <v>1</v>
      </c>
      <c r="AC65" s="44">
        <v>5200</v>
      </c>
      <c r="AD65" s="44">
        <v>0</v>
      </c>
      <c r="AE65" s="44">
        <v>4</v>
      </c>
      <c r="AF65" s="44">
        <v>3</v>
      </c>
      <c r="AG65" s="44">
        <v>8</v>
      </c>
      <c r="AH65" s="44">
        <v>1201</v>
      </c>
      <c r="AI65" s="44">
        <v>9</v>
      </c>
    </row>
    <row r="66" spans="1:35" x14ac:dyDescent="0.3">
      <c r="A66" s="50"/>
      <c r="B66" s="51"/>
      <c r="C66" s="51"/>
      <c r="D66" s="51"/>
      <c r="E66" s="51"/>
      <c r="F66" s="51"/>
      <c r="G66" s="52"/>
      <c r="H66" s="53"/>
      <c r="I66" s="54"/>
      <c r="U66" s="44">
        <v>4</v>
      </c>
      <c r="V66" s="44">
        <v>4000</v>
      </c>
      <c r="W66" s="44">
        <v>4300</v>
      </c>
      <c r="X66" s="44">
        <v>5300</v>
      </c>
      <c r="Y66" s="44">
        <v>1</v>
      </c>
      <c r="Z66" s="44"/>
      <c r="AA66" s="44"/>
      <c r="AB66" s="44">
        <v>2</v>
      </c>
      <c r="AC66" s="44">
        <v>5400</v>
      </c>
      <c r="AD66" s="44">
        <v>100</v>
      </c>
      <c r="AE66" s="44">
        <v>3</v>
      </c>
      <c r="AF66" s="44">
        <v>2</v>
      </c>
      <c r="AG66" s="44">
        <v>8</v>
      </c>
      <c r="AH66" s="44">
        <v>1166</v>
      </c>
      <c r="AI66" s="44">
        <v>9</v>
      </c>
    </row>
    <row r="67" spans="1:35" x14ac:dyDescent="0.3">
      <c r="U67" s="44">
        <v>4.0999999999999996</v>
      </c>
      <c r="V67" s="44">
        <v>4100</v>
      </c>
      <c r="W67" s="44">
        <v>4400</v>
      </c>
      <c r="X67" s="44">
        <v>5400</v>
      </c>
      <c r="Y67" s="44">
        <v>1</v>
      </c>
      <c r="Z67" s="44"/>
      <c r="AA67" s="44"/>
      <c r="AB67" s="44">
        <v>2</v>
      </c>
      <c r="AC67" s="44">
        <v>5400</v>
      </c>
      <c r="AD67" s="44">
        <v>0</v>
      </c>
      <c r="AE67" s="44">
        <v>3</v>
      </c>
      <c r="AF67" s="44">
        <v>2</v>
      </c>
      <c r="AG67" s="44">
        <v>8</v>
      </c>
      <c r="AH67" s="44">
        <v>1166</v>
      </c>
      <c r="AI67" s="44">
        <v>9</v>
      </c>
    </row>
    <row r="68" spans="1:35" x14ac:dyDescent="0.3">
      <c r="U68" s="44">
        <v>4.2</v>
      </c>
      <c r="V68" s="44">
        <v>4200</v>
      </c>
      <c r="W68" s="44">
        <v>4500</v>
      </c>
      <c r="X68" s="44">
        <v>5500</v>
      </c>
      <c r="Y68" s="44">
        <v>2</v>
      </c>
      <c r="Z68" s="44"/>
      <c r="AA68" s="44">
        <v>2</v>
      </c>
      <c r="AB68" s="44"/>
      <c r="AC68" s="44">
        <v>5600</v>
      </c>
      <c r="AD68" s="44">
        <v>100</v>
      </c>
      <c r="AE68" s="44">
        <v>4</v>
      </c>
      <c r="AF68" s="44">
        <v>3</v>
      </c>
      <c r="AG68" s="44">
        <v>8</v>
      </c>
      <c r="AH68" s="44">
        <v>1269</v>
      </c>
      <c r="AI68" s="44">
        <v>9</v>
      </c>
    </row>
    <row r="69" spans="1:35" x14ac:dyDescent="0.3">
      <c r="U69" s="44">
        <v>4.3</v>
      </c>
      <c r="V69" s="44">
        <v>4300</v>
      </c>
      <c r="W69" s="44">
        <v>4600</v>
      </c>
      <c r="X69" s="44">
        <v>5600</v>
      </c>
      <c r="Y69" s="44">
        <v>2</v>
      </c>
      <c r="Z69" s="44"/>
      <c r="AA69" s="44">
        <v>2</v>
      </c>
      <c r="AB69" s="44"/>
      <c r="AC69" s="44">
        <v>5600</v>
      </c>
      <c r="AD69" s="44">
        <v>0</v>
      </c>
      <c r="AE69" s="44">
        <v>4</v>
      </c>
      <c r="AF69" s="44">
        <v>3</v>
      </c>
      <c r="AG69" s="44">
        <v>8</v>
      </c>
      <c r="AH69" s="44">
        <v>1269</v>
      </c>
      <c r="AI69" s="44">
        <v>9</v>
      </c>
    </row>
    <row r="70" spans="1:35" x14ac:dyDescent="0.3">
      <c r="U70" s="44">
        <v>4.4000000000000004</v>
      </c>
      <c r="V70" s="44">
        <v>4400</v>
      </c>
      <c r="W70" s="44">
        <v>4700</v>
      </c>
      <c r="X70" s="44">
        <v>5700</v>
      </c>
      <c r="Y70" s="44"/>
      <c r="Z70" s="44"/>
      <c r="AA70" s="44">
        <v>2</v>
      </c>
      <c r="AB70" s="44">
        <v>1</v>
      </c>
      <c r="AC70" s="44">
        <v>5800</v>
      </c>
      <c r="AD70" s="44">
        <v>100</v>
      </c>
      <c r="AE70" s="44">
        <v>3</v>
      </c>
      <c r="AF70" s="44">
        <v>2</v>
      </c>
      <c r="AG70" s="44">
        <v>9</v>
      </c>
      <c r="AH70" s="44">
        <v>1244</v>
      </c>
      <c r="AI70" s="44">
        <v>10</v>
      </c>
    </row>
    <row r="71" spans="1:35" x14ac:dyDescent="0.3">
      <c r="U71" s="44">
        <v>4.5</v>
      </c>
      <c r="V71" s="44">
        <v>4500</v>
      </c>
      <c r="W71" s="44">
        <v>4800</v>
      </c>
      <c r="X71" s="44">
        <v>5800</v>
      </c>
      <c r="Y71" s="44"/>
      <c r="Z71" s="44"/>
      <c r="AA71" s="44">
        <v>2</v>
      </c>
      <c r="AB71" s="44">
        <v>1</v>
      </c>
      <c r="AC71" s="44">
        <v>5800</v>
      </c>
      <c r="AD71" s="44">
        <v>0</v>
      </c>
      <c r="AE71" s="44">
        <v>3</v>
      </c>
      <c r="AF71" s="44">
        <v>2</v>
      </c>
      <c r="AG71" s="44">
        <v>9</v>
      </c>
      <c r="AH71" s="44">
        <v>1244</v>
      </c>
      <c r="AI71" s="44">
        <v>10</v>
      </c>
    </row>
    <row r="72" spans="1:35" x14ac:dyDescent="0.3">
      <c r="U72" s="44">
        <v>4.5999999999999996</v>
      </c>
      <c r="V72" s="44">
        <v>4600</v>
      </c>
      <c r="W72" s="44">
        <v>4900</v>
      </c>
      <c r="X72" s="44">
        <v>5900</v>
      </c>
      <c r="Y72" s="44"/>
      <c r="Z72" s="44"/>
      <c r="AA72" s="44">
        <v>1</v>
      </c>
      <c r="AB72" s="44">
        <v>2</v>
      </c>
      <c r="AC72" s="44">
        <v>6200</v>
      </c>
      <c r="AD72" s="44">
        <v>300</v>
      </c>
      <c r="AE72" s="44">
        <v>3</v>
      </c>
      <c r="AF72" s="44">
        <v>2</v>
      </c>
      <c r="AG72" s="44">
        <v>9</v>
      </c>
      <c r="AH72" s="44">
        <v>1314</v>
      </c>
      <c r="AI72" s="44">
        <v>10</v>
      </c>
    </row>
    <row r="73" spans="1:35" x14ac:dyDescent="0.3">
      <c r="U73" s="44">
        <v>4.7</v>
      </c>
      <c r="V73" s="44">
        <v>4700</v>
      </c>
      <c r="W73" s="44">
        <v>5000</v>
      </c>
      <c r="X73" s="44">
        <v>6000</v>
      </c>
      <c r="Y73" s="44"/>
      <c r="Z73" s="44"/>
      <c r="AA73" s="44">
        <v>1</v>
      </c>
      <c r="AB73" s="44">
        <v>2</v>
      </c>
      <c r="AC73" s="44">
        <v>6200</v>
      </c>
      <c r="AD73" s="44">
        <v>200</v>
      </c>
      <c r="AE73" s="44">
        <v>3</v>
      </c>
      <c r="AF73" s="44">
        <v>2</v>
      </c>
      <c r="AG73" s="44">
        <v>9</v>
      </c>
      <c r="AH73" s="44">
        <v>1314</v>
      </c>
      <c r="AI73" s="44">
        <v>10</v>
      </c>
    </row>
    <row r="74" spans="1:35" x14ac:dyDescent="0.3">
      <c r="U74" s="44">
        <v>4.8</v>
      </c>
      <c r="V74" s="44">
        <v>4800</v>
      </c>
      <c r="W74" s="44">
        <v>5100</v>
      </c>
      <c r="X74" s="44">
        <v>6100</v>
      </c>
      <c r="Y74" s="44"/>
      <c r="Z74" s="44"/>
      <c r="AA74" s="44">
        <v>1</v>
      </c>
      <c r="AB74" s="44">
        <v>2</v>
      </c>
      <c r="AC74" s="44">
        <v>6200</v>
      </c>
      <c r="AD74" s="44">
        <v>100</v>
      </c>
      <c r="AE74" s="44">
        <v>3</v>
      </c>
      <c r="AF74" s="44">
        <v>2</v>
      </c>
      <c r="AG74" s="44">
        <v>9</v>
      </c>
      <c r="AH74" s="44">
        <v>1314</v>
      </c>
      <c r="AI74" s="44">
        <v>10</v>
      </c>
    </row>
    <row r="75" spans="1:35" x14ac:dyDescent="0.3">
      <c r="U75" s="44">
        <v>4.9000000000000004</v>
      </c>
      <c r="V75" s="44">
        <v>4900</v>
      </c>
      <c r="W75" s="44">
        <v>5200</v>
      </c>
      <c r="X75" s="44">
        <v>6200</v>
      </c>
      <c r="Y75" s="44"/>
      <c r="Z75" s="44"/>
      <c r="AA75" s="44">
        <v>1</v>
      </c>
      <c r="AB75" s="44">
        <v>2</v>
      </c>
      <c r="AC75" s="44">
        <v>6200</v>
      </c>
      <c r="AD75" s="44">
        <v>0</v>
      </c>
      <c r="AE75" s="44">
        <v>3</v>
      </c>
      <c r="AF75" s="44">
        <v>2</v>
      </c>
      <c r="AG75" s="44">
        <v>9</v>
      </c>
      <c r="AH75" s="44">
        <v>1314</v>
      </c>
      <c r="AI75" s="44">
        <v>10</v>
      </c>
    </row>
    <row r="76" spans="1:35" x14ac:dyDescent="0.3">
      <c r="U76" s="44">
        <v>5</v>
      </c>
      <c r="V76" s="44">
        <v>5000</v>
      </c>
      <c r="W76" s="44">
        <v>5300</v>
      </c>
      <c r="X76" s="44">
        <v>6300</v>
      </c>
      <c r="Y76" s="44"/>
      <c r="Z76" s="44"/>
      <c r="AA76" s="44"/>
      <c r="AB76" s="44">
        <v>3</v>
      </c>
      <c r="AC76" s="44">
        <v>6600</v>
      </c>
      <c r="AD76" s="44">
        <v>300</v>
      </c>
      <c r="AE76" s="44">
        <v>3</v>
      </c>
      <c r="AF76" s="44">
        <v>2</v>
      </c>
      <c r="AG76" s="44">
        <v>9</v>
      </c>
      <c r="AH76" s="44">
        <v>1384</v>
      </c>
      <c r="AI76" s="44">
        <v>10</v>
      </c>
    </row>
    <row r="77" spans="1:35" x14ac:dyDescent="0.3">
      <c r="U77" s="44">
        <v>5.0999999999999996</v>
      </c>
      <c r="V77" s="44">
        <v>5100</v>
      </c>
      <c r="W77" s="44">
        <v>5400</v>
      </c>
      <c r="X77" s="44">
        <v>6400</v>
      </c>
      <c r="Y77" s="44"/>
      <c r="Z77" s="44"/>
      <c r="AA77" s="44"/>
      <c r="AB77" s="44">
        <v>3</v>
      </c>
      <c r="AC77" s="44">
        <v>6600</v>
      </c>
      <c r="AD77" s="44">
        <v>200</v>
      </c>
      <c r="AE77" s="44">
        <v>3</v>
      </c>
      <c r="AF77" s="44">
        <v>2</v>
      </c>
      <c r="AG77" s="44">
        <v>10</v>
      </c>
      <c r="AH77" s="44">
        <v>1394</v>
      </c>
      <c r="AI77" s="44">
        <v>11</v>
      </c>
    </row>
    <row r="78" spans="1:35" x14ac:dyDescent="0.3">
      <c r="U78" s="44">
        <v>5.2</v>
      </c>
      <c r="V78" s="44">
        <v>5200</v>
      </c>
      <c r="W78" s="44">
        <v>5500</v>
      </c>
      <c r="X78" s="44">
        <v>6500</v>
      </c>
      <c r="Y78" s="44"/>
      <c r="Z78" s="44"/>
      <c r="AA78" s="44"/>
      <c r="AB78" s="44">
        <v>3</v>
      </c>
      <c r="AC78" s="44">
        <v>6600</v>
      </c>
      <c r="AD78" s="44">
        <v>100</v>
      </c>
      <c r="AE78" s="44">
        <v>3</v>
      </c>
      <c r="AF78" s="44">
        <v>2</v>
      </c>
      <c r="AG78" s="44">
        <v>10</v>
      </c>
      <c r="AH78" s="44">
        <v>1394</v>
      </c>
      <c r="AI78" s="44">
        <v>11</v>
      </c>
    </row>
    <row r="79" spans="1:35" x14ac:dyDescent="0.3">
      <c r="U79" s="44">
        <v>5.3</v>
      </c>
      <c r="V79" s="44">
        <v>5300</v>
      </c>
      <c r="W79" s="44">
        <v>5600</v>
      </c>
      <c r="X79" s="44">
        <v>6600</v>
      </c>
      <c r="Y79" s="44"/>
      <c r="Z79" s="44"/>
      <c r="AA79" s="44"/>
      <c r="AB79" s="44">
        <v>3</v>
      </c>
      <c r="AC79" s="44">
        <v>6600</v>
      </c>
      <c r="AD79" s="44">
        <v>0</v>
      </c>
      <c r="AE79" s="44">
        <v>3</v>
      </c>
      <c r="AF79" s="44">
        <v>2</v>
      </c>
      <c r="AG79" s="44">
        <v>10</v>
      </c>
      <c r="AH79" s="44">
        <v>1394</v>
      </c>
      <c r="AI79" s="44">
        <v>11</v>
      </c>
    </row>
    <row r="80" spans="1:35" x14ac:dyDescent="0.3">
      <c r="U80" s="44">
        <v>5.4</v>
      </c>
      <c r="V80" s="44">
        <v>5400</v>
      </c>
      <c r="W80" s="44">
        <v>5700</v>
      </c>
      <c r="X80" s="44">
        <v>6700</v>
      </c>
      <c r="Y80" s="44">
        <v>1</v>
      </c>
      <c r="Z80" s="44">
        <v>1</v>
      </c>
      <c r="AA80" s="44"/>
      <c r="AB80" s="44">
        <v>2</v>
      </c>
      <c r="AC80" s="44">
        <v>6800</v>
      </c>
      <c r="AD80" s="44">
        <v>100</v>
      </c>
      <c r="AE80" s="44">
        <v>4</v>
      </c>
      <c r="AF80" s="44">
        <v>3</v>
      </c>
      <c r="AG80" s="44">
        <v>10</v>
      </c>
      <c r="AH80" s="44">
        <v>1498</v>
      </c>
      <c r="AI80" s="44">
        <v>11</v>
      </c>
    </row>
    <row r="81" spans="21:35" x14ac:dyDescent="0.3">
      <c r="U81" s="44">
        <v>5.5</v>
      </c>
      <c r="V81" s="44">
        <v>5500</v>
      </c>
      <c r="W81" s="44">
        <v>5800</v>
      </c>
      <c r="X81" s="44">
        <v>6800</v>
      </c>
      <c r="Y81" s="44">
        <v>1</v>
      </c>
      <c r="Z81" s="44">
        <v>1</v>
      </c>
      <c r="AA81" s="44"/>
      <c r="AB81" s="44">
        <v>2</v>
      </c>
      <c r="AC81" s="44">
        <v>6800</v>
      </c>
      <c r="AD81" s="44">
        <v>0</v>
      </c>
      <c r="AE81" s="44">
        <v>4</v>
      </c>
      <c r="AF81" s="44">
        <v>3</v>
      </c>
      <c r="AG81" s="44">
        <v>10</v>
      </c>
      <c r="AH81" s="44">
        <v>1498</v>
      </c>
      <c r="AI81" s="44">
        <v>11</v>
      </c>
    </row>
    <row r="82" spans="21:35" x14ac:dyDescent="0.3">
      <c r="U82" s="44">
        <v>5.6</v>
      </c>
      <c r="V82" s="44">
        <v>5600</v>
      </c>
      <c r="W82" s="44">
        <v>5900</v>
      </c>
      <c r="X82" s="44">
        <v>6900</v>
      </c>
      <c r="Y82" s="44">
        <v>1</v>
      </c>
      <c r="Z82" s="44"/>
      <c r="AA82" s="44">
        <v>1</v>
      </c>
      <c r="AB82" s="44">
        <v>2</v>
      </c>
      <c r="AC82" s="44">
        <v>7200</v>
      </c>
      <c r="AD82" s="44">
        <v>300</v>
      </c>
      <c r="AE82" s="44">
        <v>4</v>
      </c>
      <c r="AF82" s="44">
        <v>3</v>
      </c>
      <c r="AG82" s="44">
        <v>10</v>
      </c>
      <c r="AH82" s="44">
        <v>1567</v>
      </c>
      <c r="AI82" s="44">
        <v>11</v>
      </c>
    </row>
    <row r="83" spans="21:35" x14ac:dyDescent="0.3">
      <c r="U83" s="44">
        <v>5.7</v>
      </c>
      <c r="V83" s="44">
        <v>5700</v>
      </c>
      <c r="W83" s="44">
        <v>6000</v>
      </c>
      <c r="X83" s="44">
        <v>7000</v>
      </c>
      <c r="Y83" s="44"/>
      <c r="Z83" s="44">
        <v>1</v>
      </c>
      <c r="AA83" s="44">
        <v>2</v>
      </c>
      <c r="AB83" s="44">
        <v>1</v>
      </c>
      <c r="AC83" s="44">
        <v>7200</v>
      </c>
      <c r="AD83" s="44">
        <v>200</v>
      </c>
      <c r="AE83" s="44">
        <v>4</v>
      </c>
      <c r="AF83" s="44">
        <v>3</v>
      </c>
      <c r="AG83" s="44">
        <v>10</v>
      </c>
      <c r="AH83" s="44">
        <v>1566</v>
      </c>
      <c r="AI83" s="44">
        <v>11</v>
      </c>
    </row>
    <row r="84" spans="21:35" x14ac:dyDescent="0.3">
      <c r="U84" s="44">
        <v>5.8</v>
      </c>
      <c r="V84" s="44">
        <v>5800</v>
      </c>
      <c r="W84" s="44">
        <v>6100</v>
      </c>
      <c r="X84" s="44">
        <v>7100</v>
      </c>
      <c r="Y84" s="44"/>
      <c r="Z84" s="44">
        <v>1</v>
      </c>
      <c r="AA84" s="44">
        <v>2</v>
      </c>
      <c r="AB84" s="44">
        <v>1</v>
      </c>
      <c r="AC84" s="44">
        <v>7200</v>
      </c>
      <c r="AD84" s="44">
        <v>100</v>
      </c>
      <c r="AE84" s="44">
        <v>4</v>
      </c>
      <c r="AF84" s="44">
        <v>3</v>
      </c>
      <c r="AG84" s="44">
        <v>10</v>
      </c>
      <c r="AH84" s="44">
        <v>1566</v>
      </c>
      <c r="AI84" s="44">
        <v>12</v>
      </c>
    </row>
    <row r="85" spans="21:35" x14ac:dyDescent="0.3">
      <c r="U85" s="44">
        <v>5.9</v>
      </c>
      <c r="V85" s="44">
        <v>5900</v>
      </c>
      <c r="W85" s="44">
        <v>6200</v>
      </c>
      <c r="X85" s="44">
        <v>7200</v>
      </c>
      <c r="Y85" s="44"/>
      <c r="Z85" s="44">
        <v>1</v>
      </c>
      <c r="AA85" s="44">
        <v>2</v>
      </c>
      <c r="AB85" s="44">
        <v>1</v>
      </c>
      <c r="AC85" s="44">
        <v>7200</v>
      </c>
      <c r="AD85" s="44">
        <v>0</v>
      </c>
      <c r="AE85" s="44">
        <v>4</v>
      </c>
      <c r="AF85" s="44">
        <v>3</v>
      </c>
      <c r="AG85" s="44">
        <v>11</v>
      </c>
      <c r="AH85" s="44">
        <v>1576</v>
      </c>
      <c r="AI85" s="44">
        <v>12</v>
      </c>
    </row>
    <row r="86" spans="21:35" x14ac:dyDescent="0.3">
      <c r="U86" s="44">
        <v>6</v>
      </c>
      <c r="V86" s="44">
        <v>6000</v>
      </c>
      <c r="W86" s="44">
        <v>6300</v>
      </c>
      <c r="X86" s="44">
        <v>7300</v>
      </c>
      <c r="Y86" s="44">
        <v>1</v>
      </c>
      <c r="Z86" s="44"/>
      <c r="AA86" s="44"/>
      <c r="AB86" s="44">
        <v>3</v>
      </c>
      <c r="AC86" s="44">
        <v>7600</v>
      </c>
      <c r="AD86" s="44">
        <v>300</v>
      </c>
      <c r="AE86" s="44">
        <v>4</v>
      </c>
      <c r="AF86" s="44">
        <v>3</v>
      </c>
      <c r="AG86" s="44">
        <v>11</v>
      </c>
      <c r="AH86" s="44">
        <v>1647</v>
      </c>
      <c r="AI86" s="44">
        <v>12</v>
      </c>
    </row>
    <row r="87" spans="21:35" x14ac:dyDescent="0.3">
      <c r="U87" s="44">
        <v>6.1</v>
      </c>
      <c r="V87" s="44">
        <v>6100</v>
      </c>
      <c r="W87" s="44">
        <v>6400</v>
      </c>
      <c r="X87" s="44">
        <v>7400</v>
      </c>
      <c r="Y87" s="44">
        <v>1</v>
      </c>
      <c r="Z87" s="44"/>
      <c r="AA87" s="44"/>
      <c r="AB87" s="44">
        <v>3</v>
      </c>
      <c r="AC87" s="44">
        <v>7600</v>
      </c>
      <c r="AD87" s="44">
        <v>200</v>
      </c>
      <c r="AE87" s="44">
        <v>4</v>
      </c>
      <c r="AF87" s="44">
        <v>3</v>
      </c>
      <c r="AG87" s="44">
        <v>11</v>
      </c>
      <c r="AH87" s="44">
        <v>1647</v>
      </c>
      <c r="AI87" s="44">
        <v>12</v>
      </c>
    </row>
    <row r="88" spans="21:35" x14ac:dyDescent="0.3">
      <c r="U88" s="44">
        <v>6.2</v>
      </c>
      <c r="V88" s="44">
        <v>6200</v>
      </c>
      <c r="W88" s="44">
        <v>6500</v>
      </c>
      <c r="X88" s="44">
        <v>7500</v>
      </c>
      <c r="Y88" s="44">
        <v>1</v>
      </c>
      <c r="Z88" s="44"/>
      <c r="AA88" s="44"/>
      <c r="AB88" s="44">
        <v>3</v>
      </c>
      <c r="AC88" s="44">
        <v>7600</v>
      </c>
      <c r="AD88" s="44">
        <v>100</v>
      </c>
      <c r="AE88" s="44">
        <v>4</v>
      </c>
      <c r="AF88" s="44">
        <v>3</v>
      </c>
      <c r="AG88" s="44">
        <v>11</v>
      </c>
      <c r="AH88" s="44">
        <v>1647</v>
      </c>
      <c r="AI88" s="44">
        <v>12</v>
      </c>
    </row>
    <row r="89" spans="21:35" x14ac:dyDescent="0.3">
      <c r="U89" s="44">
        <v>6.3</v>
      </c>
      <c r="V89" s="44">
        <v>6300</v>
      </c>
      <c r="W89" s="44">
        <v>6600</v>
      </c>
      <c r="X89" s="44">
        <v>7600</v>
      </c>
      <c r="Y89" s="44">
        <v>1</v>
      </c>
      <c r="Z89" s="44"/>
      <c r="AA89" s="44"/>
      <c r="AB89" s="44">
        <v>3</v>
      </c>
      <c r="AC89" s="44">
        <v>7600</v>
      </c>
      <c r="AD89" s="44">
        <v>0</v>
      </c>
      <c r="AE89" s="44">
        <v>4</v>
      </c>
      <c r="AF89" s="44">
        <v>3</v>
      </c>
      <c r="AG89" s="44">
        <v>11</v>
      </c>
      <c r="AH89" s="44">
        <v>1647</v>
      </c>
      <c r="AI89" s="44">
        <v>12</v>
      </c>
    </row>
    <row r="90" spans="21:35" x14ac:dyDescent="0.3">
      <c r="U90" s="44">
        <v>6.4</v>
      </c>
      <c r="V90" s="44">
        <v>6400</v>
      </c>
      <c r="W90" s="44">
        <v>6700</v>
      </c>
      <c r="X90" s="44">
        <v>7700</v>
      </c>
      <c r="Y90" s="44"/>
      <c r="Z90" s="44">
        <v>1</v>
      </c>
      <c r="AA90" s="44"/>
      <c r="AB90" s="44">
        <v>3</v>
      </c>
      <c r="AC90" s="44">
        <v>8000</v>
      </c>
      <c r="AD90" s="44">
        <v>300</v>
      </c>
      <c r="AE90" s="44">
        <v>4</v>
      </c>
      <c r="AF90" s="44">
        <v>3</v>
      </c>
      <c r="AG90" s="44">
        <v>11</v>
      </c>
      <c r="AH90" s="44">
        <v>1716</v>
      </c>
      <c r="AI90" s="44">
        <v>13</v>
      </c>
    </row>
    <row r="91" spans="21:35" x14ac:dyDescent="0.3">
      <c r="U91" s="44">
        <v>6.5</v>
      </c>
      <c r="V91" s="44">
        <v>6500</v>
      </c>
      <c r="W91" s="44">
        <v>6800</v>
      </c>
      <c r="X91" s="44">
        <v>7800</v>
      </c>
      <c r="Y91" s="44"/>
      <c r="Z91" s="44">
        <v>1</v>
      </c>
      <c r="AA91" s="44"/>
      <c r="AB91" s="44">
        <v>3</v>
      </c>
      <c r="AC91" s="44">
        <v>8000</v>
      </c>
      <c r="AD91" s="44">
        <v>200</v>
      </c>
      <c r="AE91" s="44">
        <v>4</v>
      </c>
      <c r="AF91" s="44">
        <v>3</v>
      </c>
      <c r="AG91" s="44">
        <v>11</v>
      </c>
      <c r="AH91" s="44">
        <v>1716</v>
      </c>
      <c r="AI91" s="44">
        <v>13</v>
      </c>
    </row>
    <row r="92" spans="21:35" x14ac:dyDescent="0.3">
      <c r="U92" s="44">
        <v>6.6</v>
      </c>
      <c r="V92" s="44">
        <v>6600</v>
      </c>
      <c r="W92" s="44">
        <v>6900</v>
      </c>
      <c r="X92" s="44">
        <v>7900</v>
      </c>
      <c r="Y92" s="44"/>
      <c r="Z92" s="44">
        <v>1</v>
      </c>
      <c r="AA92" s="44"/>
      <c r="AB92" s="44">
        <v>3</v>
      </c>
      <c r="AC92" s="44">
        <v>8000</v>
      </c>
      <c r="AD92" s="44">
        <v>100</v>
      </c>
      <c r="AE92" s="44">
        <v>4</v>
      </c>
      <c r="AF92" s="44">
        <v>3</v>
      </c>
      <c r="AG92" s="44">
        <v>12</v>
      </c>
      <c r="AH92" s="44">
        <v>1726</v>
      </c>
      <c r="AI92" s="44">
        <v>13</v>
      </c>
    </row>
    <row r="93" spans="21:35" x14ac:dyDescent="0.3">
      <c r="U93" s="44">
        <v>6.7</v>
      </c>
      <c r="V93" s="44">
        <v>6700</v>
      </c>
      <c r="W93" s="44">
        <v>7000</v>
      </c>
      <c r="X93" s="44">
        <v>8000</v>
      </c>
      <c r="Y93" s="44"/>
      <c r="Z93" s="44">
        <v>1</v>
      </c>
      <c r="AA93" s="44"/>
      <c r="AB93" s="44">
        <v>3</v>
      </c>
      <c r="AC93" s="44">
        <v>8000</v>
      </c>
      <c r="AD93" s="44">
        <v>0</v>
      </c>
      <c r="AE93" s="44">
        <v>4</v>
      </c>
      <c r="AF93" s="44">
        <v>3</v>
      </c>
      <c r="AG93" s="44">
        <v>12</v>
      </c>
      <c r="AH93" s="44">
        <v>1726</v>
      </c>
      <c r="AI93" s="44">
        <v>13</v>
      </c>
    </row>
    <row r="94" spans="21:35" x14ac:dyDescent="0.3">
      <c r="U94" s="44">
        <v>6.8</v>
      </c>
      <c r="V94" s="44">
        <v>6800</v>
      </c>
      <c r="W94" s="44">
        <v>7100</v>
      </c>
      <c r="X94" s="44">
        <v>8100</v>
      </c>
      <c r="Y94" s="44"/>
      <c r="Z94" s="44"/>
      <c r="AA94" s="44">
        <v>1</v>
      </c>
      <c r="AB94" s="44">
        <v>3</v>
      </c>
      <c r="AC94" s="44">
        <v>8400</v>
      </c>
      <c r="AD94" s="44">
        <v>300</v>
      </c>
      <c r="AE94" s="44">
        <v>4</v>
      </c>
      <c r="AF94" s="44">
        <v>3</v>
      </c>
      <c r="AG94" s="44">
        <v>12</v>
      </c>
      <c r="AH94" s="44">
        <v>1795</v>
      </c>
      <c r="AI94" s="44">
        <v>13</v>
      </c>
    </row>
    <row r="95" spans="21:35" x14ac:dyDescent="0.3">
      <c r="U95" s="44">
        <v>6.9</v>
      </c>
      <c r="V95" s="44">
        <v>6900</v>
      </c>
      <c r="W95" s="44">
        <v>7200</v>
      </c>
      <c r="X95" s="44">
        <v>8200</v>
      </c>
      <c r="Y95" s="44"/>
      <c r="Z95" s="44"/>
      <c r="AA95" s="44">
        <v>1</v>
      </c>
      <c r="AB95" s="44">
        <v>3</v>
      </c>
      <c r="AC95" s="44">
        <v>8400</v>
      </c>
      <c r="AD95" s="44">
        <v>200</v>
      </c>
      <c r="AE95" s="44">
        <v>4</v>
      </c>
      <c r="AF95" s="44">
        <v>3</v>
      </c>
      <c r="AG95" s="44">
        <v>12</v>
      </c>
      <c r="AH95" s="44">
        <v>1795</v>
      </c>
      <c r="AI95" s="44">
        <v>13</v>
      </c>
    </row>
    <row r="96" spans="21:35" x14ac:dyDescent="0.3">
      <c r="U96" s="44">
        <v>7</v>
      </c>
      <c r="V96" s="44">
        <v>7000</v>
      </c>
      <c r="W96" s="44">
        <v>7300</v>
      </c>
      <c r="X96" s="44">
        <v>8300</v>
      </c>
      <c r="Y96" s="44"/>
      <c r="Z96" s="44"/>
      <c r="AA96" s="44">
        <v>1</v>
      </c>
      <c r="AB96" s="44">
        <v>3</v>
      </c>
      <c r="AC96" s="44">
        <v>8400</v>
      </c>
      <c r="AD96" s="44">
        <v>100</v>
      </c>
      <c r="AE96" s="44">
        <v>4</v>
      </c>
      <c r="AF96" s="44">
        <v>3</v>
      </c>
      <c r="AG96" s="44">
        <v>12</v>
      </c>
      <c r="AH96" s="44">
        <v>1795</v>
      </c>
      <c r="AI96" s="44">
        <v>13</v>
      </c>
    </row>
    <row r="97" spans="21:35" x14ac:dyDescent="0.3">
      <c r="U97" s="44">
        <v>7.1</v>
      </c>
      <c r="V97" s="44">
        <v>7100</v>
      </c>
      <c r="W97" s="44">
        <v>7400</v>
      </c>
      <c r="X97" s="44">
        <v>8400</v>
      </c>
      <c r="Y97" s="44"/>
      <c r="Z97" s="44"/>
      <c r="AA97" s="44">
        <v>1</v>
      </c>
      <c r="AB97" s="44">
        <v>3</v>
      </c>
      <c r="AC97" s="44">
        <v>8400</v>
      </c>
      <c r="AD97" s="44">
        <v>0</v>
      </c>
      <c r="AE97" s="44">
        <v>4</v>
      </c>
      <c r="AF97" s="44">
        <v>3</v>
      </c>
      <c r="AG97" s="44">
        <v>12</v>
      </c>
      <c r="AH97" s="44">
        <v>1795</v>
      </c>
      <c r="AI97" s="44">
        <v>14</v>
      </c>
    </row>
    <row r="98" spans="21:35" x14ac:dyDescent="0.3">
      <c r="U98" s="44">
        <v>7.2</v>
      </c>
      <c r="V98" s="44">
        <v>7200</v>
      </c>
      <c r="W98" s="44">
        <v>7500</v>
      </c>
      <c r="X98" s="44">
        <v>8500</v>
      </c>
      <c r="Y98" s="44">
        <v>2</v>
      </c>
      <c r="Z98" s="44"/>
      <c r="AA98" s="44"/>
      <c r="AB98" s="44">
        <v>3</v>
      </c>
      <c r="AC98" s="44">
        <v>8600</v>
      </c>
      <c r="AD98" s="44">
        <v>100</v>
      </c>
      <c r="AE98" s="44">
        <v>5</v>
      </c>
      <c r="AF98" s="44">
        <v>4</v>
      </c>
      <c r="AG98" s="44">
        <v>12</v>
      </c>
      <c r="AH98" s="44">
        <v>1900</v>
      </c>
      <c r="AI98" s="44">
        <v>14</v>
      </c>
    </row>
    <row r="99" spans="21:35" x14ac:dyDescent="0.3">
      <c r="U99" s="44">
        <v>7.3</v>
      </c>
      <c r="V99" s="44">
        <v>7300</v>
      </c>
      <c r="W99" s="44">
        <v>7600</v>
      </c>
      <c r="X99" s="44">
        <v>8600</v>
      </c>
      <c r="Y99" s="44">
        <v>2</v>
      </c>
      <c r="Z99" s="44"/>
      <c r="AA99" s="44"/>
      <c r="AB99" s="44">
        <v>3</v>
      </c>
      <c r="AC99" s="44">
        <v>8600</v>
      </c>
      <c r="AD99" s="44">
        <v>0</v>
      </c>
      <c r="AE99" s="44">
        <v>5</v>
      </c>
      <c r="AF99" s="44">
        <v>4</v>
      </c>
      <c r="AG99" s="44">
        <v>12</v>
      </c>
      <c r="AH99" s="44">
        <v>1900</v>
      </c>
      <c r="AI99" s="44">
        <v>14</v>
      </c>
    </row>
    <row r="100" spans="21:35" x14ac:dyDescent="0.3">
      <c r="U100" s="44">
        <v>7.4</v>
      </c>
      <c r="V100" s="44">
        <v>7400</v>
      </c>
      <c r="W100" s="44">
        <v>7700</v>
      </c>
      <c r="X100" s="44">
        <v>8700</v>
      </c>
      <c r="Y100" s="44">
        <v>1</v>
      </c>
      <c r="Z100" s="44">
        <v>1</v>
      </c>
      <c r="AA100" s="44"/>
      <c r="AB100" s="44">
        <v>3</v>
      </c>
      <c r="AC100" s="44">
        <v>9000</v>
      </c>
      <c r="AD100" s="44">
        <v>300</v>
      </c>
      <c r="AE100" s="44">
        <v>5</v>
      </c>
      <c r="AF100" s="44">
        <v>4</v>
      </c>
      <c r="AG100" s="44">
        <v>13</v>
      </c>
      <c r="AH100" s="44">
        <v>1979</v>
      </c>
      <c r="AI100" s="44">
        <v>14</v>
      </c>
    </row>
    <row r="101" spans="21:35" x14ac:dyDescent="0.3">
      <c r="U101" s="44">
        <v>7.5</v>
      </c>
      <c r="V101" s="44">
        <v>7500</v>
      </c>
      <c r="W101" s="44">
        <v>7800</v>
      </c>
      <c r="X101" s="44">
        <v>8800</v>
      </c>
      <c r="Y101" s="44">
        <v>1</v>
      </c>
      <c r="Z101" s="44">
        <v>1</v>
      </c>
      <c r="AA101" s="44"/>
      <c r="AB101" s="44">
        <v>3</v>
      </c>
      <c r="AC101" s="44">
        <v>9000</v>
      </c>
      <c r="AD101" s="44">
        <v>200</v>
      </c>
      <c r="AE101" s="44">
        <v>5</v>
      </c>
      <c r="AF101" s="44">
        <v>4</v>
      </c>
      <c r="AG101" s="44">
        <v>13</v>
      </c>
      <c r="AH101" s="44">
        <v>1979</v>
      </c>
      <c r="AI101" s="44">
        <v>14</v>
      </c>
    </row>
    <row r="102" spans="21:35" x14ac:dyDescent="0.3">
      <c r="U102" s="44">
        <v>7.6</v>
      </c>
      <c r="V102" s="44">
        <v>7600</v>
      </c>
      <c r="W102" s="44">
        <v>7900</v>
      </c>
      <c r="X102" s="44">
        <v>8900</v>
      </c>
      <c r="Y102" s="44">
        <v>1</v>
      </c>
      <c r="Z102" s="44">
        <v>1</v>
      </c>
      <c r="AA102" s="44"/>
      <c r="AB102" s="44">
        <v>3</v>
      </c>
      <c r="AC102" s="44">
        <v>9000</v>
      </c>
      <c r="AD102" s="44">
        <v>100</v>
      </c>
      <c r="AE102" s="44">
        <v>5</v>
      </c>
      <c r="AF102" s="44">
        <v>4</v>
      </c>
      <c r="AG102" s="44">
        <v>13</v>
      </c>
      <c r="AH102" s="44">
        <v>1979</v>
      </c>
      <c r="AI102" s="44">
        <v>14</v>
      </c>
    </row>
    <row r="103" spans="21:35" x14ac:dyDescent="0.3">
      <c r="U103" s="44">
        <v>7.7</v>
      </c>
      <c r="V103" s="44">
        <v>7700</v>
      </c>
      <c r="W103" s="44">
        <v>8000</v>
      </c>
      <c r="X103" s="44">
        <v>9000</v>
      </c>
      <c r="Y103" s="44">
        <v>1</v>
      </c>
      <c r="Z103" s="44">
        <v>1</v>
      </c>
      <c r="AA103" s="44"/>
      <c r="AB103" s="44">
        <v>3</v>
      </c>
      <c r="AC103" s="44">
        <v>9000</v>
      </c>
      <c r="AD103" s="44">
        <v>0</v>
      </c>
      <c r="AE103" s="44">
        <v>5</v>
      </c>
      <c r="AF103" s="44">
        <v>4</v>
      </c>
      <c r="AG103" s="44">
        <v>13</v>
      </c>
      <c r="AH103" s="44">
        <v>1979</v>
      </c>
      <c r="AI103" s="44">
        <v>14</v>
      </c>
    </row>
    <row r="104" spans="21:35" x14ac:dyDescent="0.3">
      <c r="U104" s="44">
        <v>7.8</v>
      </c>
      <c r="V104" s="44">
        <v>7800</v>
      </c>
      <c r="W104" s="44">
        <v>8100</v>
      </c>
      <c r="X104" s="44">
        <v>9100</v>
      </c>
      <c r="Y104" s="44">
        <v>1</v>
      </c>
      <c r="Z104" s="44">
        <v>0</v>
      </c>
      <c r="AA104" s="44">
        <v>1</v>
      </c>
      <c r="AB104" s="44">
        <v>3</v>
      </c>
      <c r="AC104" s="44">
        <v>9400</v>
      </c>
      <c r="AD104" s="44">
        <v>300</v>
      </c>
      <c r="AE104" s="44">
        <v>5</v>
      </c>
      <c r="AF104" s="44">
        <v>4</v>
      </c>
      <c r="AG104" s="44">
        <v>13</v>
      </c>
      <c r="AH104" s="44">
        <v>2048</v>
      </c>
      <c r="AI104" s="44">
        <v>15</v>
      </c>
    </row>
    <row r="105" spans="21:35" x14ac:dyDescent="0.3">
      <c r="U105" s="44">
        <v>7.9</v>
      </c>
      <c r="V105" s="44">
        <v>7900</v>
      </c>
      <c r="W105" s="44">
        <v>8200</v>
      </c>
      <c r="X105" s="44">
        <v>9200</v>
      </c>
      <c r="Y105" s="44">
        <v>1</v>
      </c>
      <c r="Z105" s="44">
        <v>0</v>
      </c>
      <c r="AA105" s="44">
        <v>1</v>
      </c>
      <c r="AB105" s="44">
        <v>3</v>
      </c>
      <c r="AC105" s="44">
        <v>9400</v>
      </c>
      <c r="AD105" s="44">
        <v>200</v>
      </c>
      <c r="AE105" s="44">
        <v>5</v>
      </c>
      <c r="AF105" s="44">
        <v>4</v>
      </c>
      <c r="AG105" s="44">
        <v>13</v>
      </c>
      <c r="AH105" s="44">
        <v>2048</v>
      </c>
      <c r="AI105" s="44">
        <v>15</v>
      </c>
    </row>
    <row r="106" spans="21:35" x14ac:dyDescent="0.3">
      <c r="U106" s="44">
        <v>8</v>
      </c>
      <c r="V106" s="44">
        <v>8000</v>
      </c>
      <c r="W106" s="44">
        <v>8300</v>
      </c>
      <c r="X106" s="44">
        <v>9300</v>
      </c>
      <c r="Y106" s="44">
        <v>1</v>
      </c>
      <c r="Z106" s="44">
        <v>0</v>
      </c>
      <c r="AA106" s="44">
        <v>1</v>
      </c>
      <c r="AB106" s="44">
        <v>3</v>
      </c>
      <c r="AC106" s="44">
        <v>9400</v>
      </c>
      <c r="AD106" s="44">
        <v>100</v>
      </c>
      <c r="AE106" s="44">
        <v>5</v>
      </c>
      <c r="AF106" s="44">
        <v>4</v>
      </c>
      <c r="AG106" s="44">
        <v>13</v>
      </c>
      <c r="AH106" s="44">
        <v>2048</v>
      </c>
      <c r="AI106" s="44">
        <v>15</v>
      </c>
    </row>
    <row r="107" spans="21:35" x14ac:dyDescent="0.3">
      <c r="U107" s="44">
        <v>8.1</v>
      </c>
      <c r="V107" s="44">
        <v>8100</v>
      </c>
      <c r="W107" s="44">
        <v>8400</v>
      </c>
      <c r="X107" s="44">
        <v>9400</v>
      </c>
      <c r="Y107" s="44">
        <v>1</v>
      </c>
      <c r="Z107" s="44">
        <v>0</v>
      </c>
      <c r="AA107" s="44">
        <v>1</v>
      </c>
      <c r="AB107" s="44">
        <v>3</v>
      </c>
      <c r="AC107" s="44">
        <v>9400</v>
      </c>
      <c r="AD107" s="44">
        <v>0</v>
      </c>
      <c r="AE107" s="44">
        <v>5</v>
      </c>
      <c r="AF107" s="44">
        <v>4</v>
      </c>
      <c r="AG107" s="44">
        <v>14</v>
      </c>
      <c r="AH107" s="44">
        <v>2058</v>
      </c>
      <c r="AI107" s="44">
        <v>15</v>
      </c>
    </row>
    <row r="108" spans="21:35" x14ac:dyDescent="0.3">
      <c r="U108" s="44">
        <v>8.1999999999999993</v>
      </c>
      <c r="V108" s="44">
        <v>8200</v>
      </c>
      <c r="W108" s="44">
        <v>8500</v>
      </c>
      <c r="X108" s="44">
        <v>9500</v>
      </c>
      <c r="Y108" s="44"/>
      <c r="Z108" s="44"/>
      <c r="AA108" s="44">
        <v>3</v>
      </c>
      <c r="AB108" s="44">
        <v>2</v>
      </c>
      <c r="AC108" s="44">
        <v>9800</v>
      </c>
      <c r="AD108" s="44">
        <v>300</v>
      </c>
      <c r="AE108" s="44">
        <v>5</v>
      </c>
      <c r="AF108" s="44">
        <v>4</v>
      </c>
      <c r="AG108" s="44">
        <v>14</v>
      </c>
      <c r="AH108" s="44">
        <v>2126</v>
      </c>
      <c r="AI108" s="44">
        <v>15</v>
      </c>
    </row>
    <row r="109" spans="21:35" x14ac:dyDescent="0.3">
      <c r="U109" s="44">
        <v>8.3000000000000007</v>
      </c>
      <c r="V109" s="44">
        <v>8300</v>
      </c>
      <c r="W109" s="44">
        <v>8600</v>
      </c>
      <c r="X109" s="44">
        <v>9600</v>
      </c>
      <c r="Y109" s="44"/>
      <c r="Z109" s="44"/>
      <c r="AA109" s="44">
        <v>3</v>
      </c>
      <c r="AB109" s="44">
        <v>2</v>
      </c>
      <c r="AC109" s="44">
        <v>9800</v>
      </c>
      <c r="AD109" s="44">
        <v>200</v>
      </c>
      <c r="AE109" s="44">
        <v>5</v>
      </c>
      <c r="AF109" s="44">
        <v>4</v>
      </c>
      <c r="AG109" s="44">
        <v>14</v>
      </c>
      <c r="AH109" s="44">
        <v>2126</v>
      </c>
      <c r="AI109" s="44">
        <v>15</v>
      </c>
    </row>
    <row r="110" spans="21:35" x14ac:dyDescent="0.3">
      <c r="U110" s="44">
        <v>8.4</v>
      </c>
      <c r="V110" s="44">
        <v>8400</v>
      </c>
      <c r="W110" s="44">
        <v>8700</v>
      </c>
      <c r="X110" s="44">
        <v>9700</v>
      </c>
      <c r="Y110" s="44"/>
      <c r="Z110" s="44"/>
      <c r="AA110" s="44">
        <v>3</v>
      </c>
      <c r="AB110" s="44">
        <v>2</v>
      </c>
      <c r="AC110" s="44">
        <v>9800</v>
      </c>
      <c r="AD110" s="44">
        <v>100</v>
      </c>
      <c r="AE110" s="44">
        <v>5</v>
      </c>
      <c r="AF110" s="44">
        <v>4</v>
      </c>
      <c r="AG110" s="44">
        <v>14</v>
      </c>
      <c r="AH110" s="44">
        <v>2126</v>
      </c>
      <c r="AI110" s="44">
        <v>16</v>
      </c>
    </row>
    <row r="111" spans="21:35" x14ac:dyDescent="0.3">
      <c r="U111" s="44">
        <v>8.5</v>
      </c>
      <c r="V111" s="44">
        <v>8500</v>
      </c>
      <c r="W111" s="44">
        <v>8800</v>
      </c>
      <c r="X111" s="44">
        <v>9800</v>
      </c>
      <c r="Y111" s="44"/>
      <c r="Z111" s="44"/>
      <c r="AA111" s="44">
        <v>3</v>
      </c>
      <c r="AB111" s="44">
        <v>2</v>
      </c>
      <c r="AC111" s="44">
        <v>9800</v>
      </c>
      <c r="AD111" s="44">
        <v>0</v>
      </c>
      <c r="AE111" s="44">
        <v>5</v>
      </c>
      <c r="AF111" s="44">
        <v>4</v>
      </c>
      <c r="AG111" s="44">
        <v>14</v>
      </c>
      <c r="AH111" s="44">
        <v>2126</v>
      </c>
      <c r="AI111" s="44">
        <v>16</v>
      </c>
    </row>
    <row r="112" spans="21:35" x14ac:dyDescent="0.3">
      <c r="U112" s="44">
        <v>8.6</v>
      </c>
      <c r="V112" s="44">
        <v>8600</v>
      </c>
      <c r="W112" s="44">
        <v>8900</v>
      </c>
      <c r="X112" s="44">
        <v>9900</v>
      </c>
      <c r="Y112" s="44"/>
      <c r="Z112" s="44"/>
      <c r="AA112" s="44">
        <v>2</v>
      </c>
      <c r="AB112" s="44">
        <v>3</v>
      </c>
      <c r="AC112" s="44">
        <v>10200</v>
      </c>
      <c r="AD112" s="44">
        <v>300</v>
      </c>
      <c r="AE112" s="44">
        <v>5</v>
      </c>
      <c r="AF112" s="44">
        <v>4</v>
      </c>
      <c r="AG112" s="44">
        <v>14</v>
      </c>
      <c r="AH112" s="44">
        <v>2196</v>
      </c>
      <c r="AI112" s="44">
        <v>16</v>
      </c>
    </row>
    <row r="113" spans="21:35" x14ac:dyDescent="0.3">
      <c r="U113" s="44">
        <v>8.6999999999999993</v>
      </c>
      <c r="V113" s="44">
        <v>8700</v>
      </c>
      <c r="W113" s="44">
        <v>9000</v>
      </c>
      <c r="X113" s="44">
        <v>10000</v>
      </c>
      <c r="Y113" s="44"/>
      <c r="Z113" s="44">
        <v>1</v>
      </c>
      <c r="AA113" s="44"/>
      <c r="AB113" s="44">
        <v>4</v>
      </c>
      <c r="AC113" s="44">
        <v>10200</v>
      </c>
      <c r="AD113" s="44">
        <v>200</v>
      </c>
      <c r="AE113" s="44">
        <v>5</v>
      </c>
      <c r="AF113" s="44">
        <v>4</v>
      </c>
      <c r="AG113" s="44">
        <v>14</v>
      </c>
      <c r="AH113" s="44">
        <v>2197</v>
      </c>
      <c r="AI113" s="44">
        <v>16</v>
      </c>
    </row>
    <row r="114" spans="21:35" x14ac:dyDescent="0.3">
      <c r="U114" s="44">
        <v>8.8000000000000007</v>
      </c>
      <c r="V114" s="44">
        <v>8800</v>
      </c>
      <c r="W114" s="44">
        <v>9100</v>
      </c>
      <c r="X114" s="44">
        <v>10100</v>
      </c>
      <c r="Y114" s="44"/>
      <c r="Z114" s="44">
        <v>1</v>
      </c>
      <c r="AA114" s="44"/>
      <c r="AB114" s="44">
        <v>4</v>
      </c>
      <c r="AC114" s="44">
        <v>10200</v>
      </c>
      <c r="AD114" s="44">
        <v>100</v>
      </c>
      <c r="AE114" s="44">
        <v>5</v>
      </c>
      <c r="AF114" s="44">
        <v>4</v>
      </c>
      <c r="AG114" s="44">
        <v>14</v>
      </c>
      <c r="AH114" s="44">
        <v>2197</v>
      </c>
      <c r="AI114" s="44">
        <v>16</v>
      </c>
    </row>
    <row r="115" spans="21:35" x14ac:dyDescent="0.3">
      <c r="U115" s="44">
        <v>8.9</v>
      </c>
      <c r="V115" s="44">
        <v>8900</v>
      </c>
      <c r="W115" s="44">
        <v>9200</v>
      </c>
      <c r="X115" s="44">
        <v>10200</v>
      </c>
      <c r="Y115" s="44"/>
      <c r="Z115" s="44">
        <v>1</v>
      </c>
      <c r="AA115" s="44"/>
      <c r="AB115" s="44">
        <v>4</v>
      </c>
      <c r="AC115" s="44">
        <v>10200</v>
      </c>
      <c r="AD115" s="44">
        <v>0</v>
      </c>
      <c r="AE115" s="44">
        <v>5</v>
      </c>
      <c r="AF115" s="44">
        <v>4</v>
      </c>
      <c r="AG115" s="44">
        <v>15</v>
      </c>
      <c r="AH115" s="44">
        <v>2207</v>
      </c>
      <c r="AI115" s="44">
        <v>16</v>
      </c>
    </row>
    <row r="116" spans="21:35" x14ac:dyDescent="0.3">
      <c r="U116" s="44">
        <v>9</v>
      </c>
      <c r="V116" s="44">
        <v>9000</v>
      </c>
      <c r="W116" s="44">
        <v>9300</v>
      </c>
      <c r="X116" s="44">
        <v>10300</v>
      </c>
      <c r="Y116" s="44"/>
      <c r="Z116" s="44"/>
      <c r="AA116" s="44">
        <v>1</v>
      </c>
      <c r="AB116" s="44">
        <v>4</v>
      </c>
      <c r="AC116" s="44">
        <v>10600</v>
      </c>
      <c r="AD116" s="44">
        <v>300</v>
      </c>
      <c r="AE116" s="44">
        <v>5</v>
      </c>
      <c r="AF116" s="44">
        <v>4</v>
      </c>
      <c r="AG116" s="44">
        <v>15</v>
      </c>
      <c r="AH116" s="44">
        <v>2276</v>
      </c>
      <c r="AI116" s="44">
        <v>16</v>
      </c>
    </row>
    <row r="117" spans="21:35" x14ac:dyDescent="0.3">
      <c r="U117" s="44">
        <v>9.1</v>
      </c>
      <c r="V117" s="44">
        <v>9100</v>
      </c>
      <c r="W117" s="44">
        <v>9400</v>
      </c>
      <c r="X117" s="44">
        <v>10400</v>
      </c>
      <c r="Y117" s="44"/>
      <c r="Z117" s="44"/>
      <c r="AA117" s="44">
        <v>1</v>
      </c>
      <c r="AB117" s="44">
        <v>4</v>
      </c>
      <c r="AC117" s="44">
        <v>10600</v>
      </c>
      <c r="AD117" s="44">
        <v>200</v>
      </c>
      <c r="AE117" s="44">
        <v>5</v>
      </c>
      <c r="AF117" s="44">
        <v>4</v>
      </c>
      <c r="AG117" s="44">
        <v>15</v>
      </c>
      <c r="AH117" s="44">
        <v>2276</v>
      </c>
      <c r="AI117" s="44">
        <v>17</v>
      </c>
    </row>
    <row r="118" spans="21:35" x14ac:dyDescent="0.3">
      <c r="U118" s="44">
        <v>9.1999999999999993</v>
      </c>
      <c r="V118" s="44">
        <v>9200</v>
      </c>
      <c r="W118" s="44">
        <v>9500</v>
      </c>
      <c r="X118" s="44">
        <v>10500</v>
      </c>
      <c r="Y118" s="44"/>
      <c r="Z118" s="44"/>
      <c r="AA118" s="44">
        <v>1</v>
      </c>
      <c r="AB118" s="44">
        <v>4</v>
      </c>
      <c r="AC118" s="44">
        <v>10600</v>
      </c>
      <c r="AD118" s="44">
        <v>100</v>
      </c>
      <c r="AE118" s="44">
        <v>5</v>
      </c>
      <c r="AF118" s="44">
        <v>4</v>
      </c>
      <c r="AG118" s="44">
        <v>15</v>
      </c>
      <c r="AH118" s="44">
        <v>2276</v>
      </c>
      <c r="AI118" s="44">
        <v>17</v>
      </c>
    </row>
    <row r="119" spans="21:35" x14ac:dyDescent="0.3">
      <c r="U119" s="44">
        <v>9.3000000000000007</v>
      </c>
      <c r="V119" s="44">
        <v>9300</v>
      </c>
      <c r="W119" s="44">
        <v>9600</v>
      </c>
      <c r="X119" s="44">
        <v>10600</v>
      </c>
      <c r="Y119" s="44"/>
      <c r="Z119" s="44"/>
      <c r="AA119" s="44">
        <v>1</v>
      </c>
      <c r="AB119" s="44">
        <v>4</v>
      </c>
      <c r="AC119" s="44">
        <v>10600</v>
      </c>
      <c r="AD119" s="44">
        <v>0</v>
      </c>
      <c r="AE119" s="44">
        <v>5</v>
      </c>
      <c r="AF119" s="44">
        <v>4</v>
      </c>
      <c r="AG119" s="44">
        <v>15</v>
      </c>
      <c r="AH119" s="44">
        <v>2276</v>
      </c>
      <c r="AI119" s="44">
        <v>17</v>
      </c>
    </row>
    <row r="120" spans="21:35" x14ac:dyDescent="0.3">
      <c r="U120" s="44">
        <v>9.4</v>
      </c>
      <c r="V120" s="44">
        <v>9400</v>
      </c>
      <c r="W120" s="44">
        <v>9700</v>
      </c>
      <c r="X120" s="44">
        <v>10700</v>
      </c>
      <c r="Y120" s="44">
        <v>1</v>
      </c>
      <c r="Z120" s="44">
        <v>1</v>
      </c>
      <c r="AA120" s="44">
        <v>1</v>
      </c>
      <c r="AB120" s="44">
        <v>3</v>
      </c>
      <c r="AC120" s="44">
        <v>10800</v>
      </c>
      <c r="AD120" s="44">
        <v>100</v>
      </c>
      <c r="AE120" s="44">
        <v>6</v>
      </c>
      <c r="AF120" s="44">
        <v>5</v>
      </c>
      <c r="AG120" s="44">
        <v>15</v>
      </c>
      <c r="AH120" s="44">
        <v>2380</v>
      </c>
      <c r="AI120" s="44">
        <v>17</v>
      </c>
    </row>
    <row r="121" spans="21:35" x14ac:dyDescent="0.3">
      <c r="U121" s="44">
        <v>9.5</v>
      </c>
      <c r="V121" s="44">
        <v>9500</v>
      </c>
      <c r="W121" s="44">
        <v>9800</v>
      </c>
      <c r="X121" s="44">
        <v>10800</v>
      </c>
      <c r="Y121" s="44"/>
      <c r="Z121" s="44"/>
      <c r="AA121" s="44"/>
      <c r="AB121" s="44">
        <v>5</v>
      </c>
      <c r="AC121" s="44">
        <v>11000</v>
      </c>
      <c r="AD121" s="44">
        <v>200</v>
      </c>
      <c r="AE121" s="44">
        <v>5</v>
      </c>
      <c r="AF121" s="44">
        <v>4</v>
      </c>
      <c r="AG121" s="44">
        <v>15</v>
      </c>
      <c r="AH121" s="44">
        <v>2346</v>
      </c>
      <c r="AI121" s="44">
        <v>17</v>
      </c>
    </row>
    <row r="122" spans="21:35" x14ac:dyDescent="0.3">
      <c r="U122" s="44">
        <v>9.6</v>
      </c>
      <c r="V122" s="44">
        <v>9600</v>
      </c>
      <c r="W122" s="44">
        <v>9900</v>
      </c>
      <c r="X122" s="44">
        <v>10900</v>
      </c>
      <c r="Y122" s="44"/>
      <c r="Z122" s="44"/>
      <c r="AA122" s="44"/>
      <c r="AB122" s="44">
        <v>5</v>
      </c>
      <c r="AC122" s="44">
        <v>11000</v>
      </c>
      <c r="AD122" s="44">
        <v>100</v>
      </c>
      <c r="AE122" s="44">
        <v>5</v>
      </c>
      <c r="AF122" s="44">
        <v>4</v>
      </c>
      <c r="AG122" s="44">
        <v>16</v>
      </c>
      <c r="AH122" s="44">
        <v>2356</v>
      </c>
      <c r="AI122" s="44">
        <v>17</v>
      </c>
    </row>
    <row r="123" spans="21:35" x14ac:dyDescent="0.3">
      <c r="U123" s="44">
        <v>9.6999999999999993</v>
      </c>
      <c r="V123" s="44">
        <v>9700</v>
      </c>
      <c r="W123" s="44">
        <v>10000</v>
      </c>
      <c r="X123" s="44">
        <v>11000</v>
      </c>
      <c r="Y123" s="44"/>
      <c r="Z123" s="44"/>
      <c r="AA123" s="44"/>
      <c r="AB123" s="44">
        <v>5</v>
      </c>
      <c r="AC123" s="44">
        <v>11000</v>
      </c>
      <c r="AD123" s="44">
        <v>0</v>
      </c>
      <c r="AE123" s="44">
        <v>5</v>
      </c>
      <c r="AF123" s="44">
        <v>4</v>
      </c>
      <c r="AG123" s="44">
        <v>16</v>
      </c>
      <c r="AH123" s="44">
        <v>2356</v>
      </c>
      <c r="AI123" s="44">
        <v>17</v>
      </c>
    </row>
    <row r="124" spans="21:35" x14ac:dyDescent="0.3">
      <c r="U124" s="44">
        <v>9.8000000000000007</v>
      </c>
      <c r="V124" s="44">
        <v>9800</v>
      </c>
      <c r="W124" s="44">
        <v>10100</v>
      </c>
      <c r="X124" s="44">
        <v>11100</v>
      </c>
      <c r="Y124" s="44">
        <v>1</v>
      </c>
      <c r="Z124" s="44">
        <v>1</v>
      </c>
      <c r="AA124" s="44"/>
      <c r="AB124" s="44">
        <v>4</v>
      </c>
      <c r="AC124" s="44">
        <v>11200</v>
      </c>
      <c r="AD124" s="44">
        <v>100</v>
      </c>
      <c r="AE124" s="44">
        <v>6</v>
      </c>
      <c r="AF124" s="44">
        <v>5</v>
      </c>
      <c r="AG124" s="44">
        <v>16</v>
      </c>
      <c r="AH124" s="44">
        <v>2460</v>
      </c>
      <c r="AI124" s="44">
        <v>18</v>
      </c>
    </row>
    <row r="125" spans="21:35" x14ac:dyDescent="0.3">
      <c r="U125" s="44">
        <v>9.9</v>
      </c>
      <c r="V125" s="44">
        <v>9900</v>
      </c>
      <c r="W125" s="44">
        <v>10200</v>
      </c>
      <c r="X125" s="44">
        <v>11200</v>
      </c>
      <c r="Y125" s="44">
        <v>1</v>
      </c>
      <c r="Z125" s="44">
        <v>1</v>
      </c>
      <c r="AA125" s="44"/>
      <c r="AB125" s="44">
        <v>4</v>
      </c>
      <c r="AC125" s="44">
        <v>11200</v>
      </c>
      <c r="AD125" s="44">
        <v>0</v>
      </c>
      <c r="AE125" s="44">
        <v>6</v>
      </c>
      <c r="AF125" s="44">
        <v>5</v>
      </c>
      <c r="AG125" s="44">
        <v>16</v>
      </c>
      <c r="AH125" s="44">
        <v>2460</v>
      </c>
      <c r="AI125" s="44">
        <v>18</v>
      </c>
    </row>
  </sheetData>
  <sheetProtection algorithmName="SHA-512" hashValue="6LyIkzpSHzFe3y5J1Z2c3mNeM62ZAhyN6CFaB+FnTi/uqjsN84mV8nq+FRufWBtGWuSHzs5HSp1lZkJD27bMUA==" saltValue="LIOJplwcKi3UWVMiRe9APQ==" spinCount="100000" sheet="1" selectLockedCells="1"/>
  <protectedRanges>
    <protectedRange sqref="G49 G33:G36" name="freecurve_1_1"/>
  </protectedRanges>
  <mergeCells count="8">
    <mergeCell ref="D59:F59"/>
    <mergeCell ref="D61:E61"/>
    <mergeCell ref="D64:F64"/>
    <mergeCell ref="X5:Z5"/>
    <mergeCell ref="B2:E3"/>
    <mergeCell ref="H2:H3"/>
    <mergeCell ref="AB11:AC11"/>
    <mergeCell ref="Y21:AB21"/>
  </mergeCells>
  <dataValidations count="2">
    <dataValidation type="list" allowBlank="1" showInputMessage="1" showErrorMessage="1" sqref="G24:G32 G50:G52 G37:G48 G7:G14 G54:G57" xr:uid="{26F65D3B-9463-4602-AA0B-A8A2DF250AF3}">
      <formula1>"0,1"</formula1>
    </dataValidation>
    <dataValidation type="custom" allowBlank="1" showInputMessage="1" showErrorMessage="1" sqref="G62" xr:uid="{385245CE-3A91-44E8-B6CB-C1DA3BF3EB24}">
      <formula1>G62&lt;=F61</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75168-11EA-7F4B-BF14-39F190165634}">
  <dimension ref="A1:R102"/>
  <sheetViews>
    <sheetView zoomScaleNormal="100" workbookViewId="0">
      <selection activeCell="G3" sqref="G3"/>
    </sheetView>
  </sheetViews>
  <sheetFormatPr defaultColWidth="11" defaultRowHeight="15.6" x14ac:dyDescent="0.3"/>
  <cols>
    <col min="1" max="1" width="13.296875" customWidth="1"/>
    <col min="2" max="2" width="3.5" customWidth="1"/>
    <col min="3" max="3" width="57.5" customWidth="1"/>
    <col min="4" max="4" width="15" customWidth="1"/>
    <col min="5" max="5" width="19" customWidth="1"/>
    <col min="6" max="6" width="12.8984375" hidden="1" customWidth="1"/>
    <col min="7" max="7" width="26.8984375" style="242" customWidth="1"/>
    <col min="8" max="8" width="17.19921875" style="243" customWidth="1"/>
    <col min="9" max="9" width="13.19921875" customWidth="1"/>
    <col min="10" max="10" width="44.09765625" customWidth="1"/>
    <col min="11" max="11" width="53.5" customWidth="1"/>
    <col min="15" max="18" width="0" hidden="1" customWidth="1"/>
  </cols>
  <sheetData>
    <row r="1" spans="1:18" ht="15.6" customHeight="1" x14ac:dyDescent="0.3">
      <c r="A1" s="204"/>
      <c r="B1" s="205"/>
      <c r="C1" s="205"/>
      <c r="D1" s="205"/>
      <c r="E1" s="205"/>
      <c r="F1" s="205"/>
      <c r="G1" s="207"/>
      <c r="H1" s="270"/>
      <c r="I1" s="209"/>
    </row>
    <row r="2" spans="1:18" ht="14.4" customHeight="1" x14ac:dyDescent="0.3">
      <c r="A2" s="196"/>
      <c r="B2" s="297" t="s">
        <v>111</v>
      </c>
      <c r="C2" s="298"/>
      <c r="D2" s="298"/>
      <c r="E2" s="298"/>
      <c r="F2" s="269"/>
      <c r="G2" s="210" t="s">
        <v>74</v>
      </c>
      <c r="H2" s="281" t="e" vm="1">
        <v>#VALUE!</v>
      </c>
      <c r="I2" s="200"/>
    </row>
    <row r="3" spans="1:18" ht="45.6" customHeight="1" x14ac:dyDescent="0.3">
      <c r="A3" s="196"/>
      <c r="B3" s="299"/>
      <c r="C3" s="300"/>
      <c r="D3" s="300"/>
      <c r="E3" s="300"/>
      <c r="F3" s="232"/>
      <c r="G3" s="7"/>
      <c r="H3" s="281"/>
      <c r="I3" s="200"/>
    </row>
    <row r="4" spans="1:18" ht="15.6" customHeight="1" x14ac:dyDescent="0.3">
      <c r="A4" s="196"/>
      <c r="B4" s="135"/>
      <c r="C4" s="135"/>
      <c r="D4" s="135"/>
      <c r="E4" s="135"/>
      <c r="F4" s="135"/>
      <c r="G4" s="198"/>
      <c r="H4" s="236"/>
      <c r="I4" s="200"/>
    </row>
    <row r="5" spans="1:18" ht="18" customHeight="1" x14ac:dyDescent="0.3">
      <c r="A5" s="196"/>
      <c r="B5" s="295" t="s">
        <v>73</v>
      </c>
      <c r="C5" s="296"/>
      <c r="D5" s="173"/>
      <c r="E5" s="173"/>
      <c r="F5" s="174"/>
      <c r="G5" s="173"/>
      <c r="H5" s="268"/>
      <c r="I5" s="200"/>
    </row>
    <row r="6" spans="1:18" ht="18" customHeight="1" x14ac:dyDescent="0.3">
      <c r="A6" s="196"/>
      <c r="B6" s="248">
        <v>1</v>
      </c>
      <c r="C6" s="249" t="s">
        <v>116</v>
      </c>
      <c r="D6" s="249"/>
      <c r="E6" s="250" t="s">
        <v>125</v>
      </c>
      <c r="F6" s="267"/>
      <c r="G6" s="8"/>
      <c r="H6" s="247"/>
      <c r="I6" s="200"/>
    </row>
    <row r="7" spans="1:18" ht="18" customHeight="1" x14ac:dyDescent="0.3">
      <c r="A7" s="196"/>
      <c r="B7" s="248">
        <v>2</v>
      </c>
      <c r="C7" s="249" t="s">
        <v>61</v>
      </c>
      <c r="D7" s="249"/>
      <c r="E7" s="250" t="s">
        <v>102</v>
      </c>
      <c r="F7" s="267"/>
      <c r="G7" s="8"/>
      <c r="H7" s="247"/>
      <c r="I7" s="200"/>
      <c r="L7" t="s">
        <v>62</v>
      </c>
      <c r="O7" t="s">
        <v>59</v>
      </c>
      <c r="P7" t="s">
        <v>62</v>
      </c>
      <c r="Q7" t="s">
        <v>64</v>
      </c>
      <c r="R7" t="s">
        <v>70</v>
      </c>
    </row>
    <row r="8" spans="1:18" ht="18" customHeight="1" x14ac:dyDescent="0.3">
      <c r="A8" s="196"/>
      <c r="B8" s="248">
        <v>3</v>
      </c>
      <c r="C8" s="249" t="s">
        <v>67</v>
      </c>
      <c r="D8" s="249"/>
      <c r="E8" s="250" t="s">
        <v>102</v>
      </c>
      <c r="F8" s="267"/>
      <c r="G8" s="8"/>
      <c r="H8" s="247"/>
      <c r="I8" s="200"/>
      <c r="L8" t="s">
        <v>63</v>
      </c>
      <c r="O8" t="s">
        <v>60</v>
      </c>
      <c r="P8" t="s">
        <v>63</v>
      </c>
      <c r="Q8" t="s">
        <v>65</v>
      </c>
      <c r="R8" t="s">
        <v>69</v>
      </c>
    </row>
    <row r="9" spans="1:18" ht="18" customHeight="1" x14ac:dyDescent="0.3">
      <c r="A9" s="196"/>
      <c r="B9" s="248">
        <v>4</v>
      </c>
      <c r="C9" s="249" t="s">
        <v>66</v>
      </c>
      <c r="D9" s="249"/>
      <c r="E9" s="250" t="s">
        <v>125</v>
      </c>
      <c r="F9" s="267"/>
      <c r="G9" s="8"/>
      <c r="H9" s="247"/>
      <c r="I9" s="200"/>
    </row>
    <row r="10" spans="1:18" ht="18" customHeight="1" x14ac:dyDescent="0.3">
      <c r="A10" s="196"/>
      <c r="B10" s="248">
        <v>5</v>
      </c>
      <c r="C10" s="249" t="s">
        <v>0</v>
      </c>
      <c r="D10" s="249"/>
      <c r="E10" s="250"/>
      <c r="F10" s="66">
        <v>12906.599999999999</v>
      </c>
      <c r="G10" s="218">
        <v>1</v>
      </c>
      <c r="H10" s="247">
        <f>F10*G10</f>
        <v>12906.599999999999</v>
      </c>
      <c r="I10" s="200"/>
      <c r="L10" t="s">
        <v>65</v>
      </c>
    </row>
    <row r="11" spans="1:18" ht="18" customHeight="1" x14ac:dyDescent="0.3">
      <c r="A11" s="196"/>
      <c r="B11" s="248">
        <v>6</v>
      </c>
      <c r="C11" s="249" t="s">
        <v>1</v>
      </c>
      <c r="D11" s="249"/>
      <c r="E11" s="250"/>
      <c r="F11" s="66">
        <v>0</v>
      </c>
      <c r="G11" s="8"/>
      <c r="H11" s="247"/>
      <c r="I11" s="200"/>
      <c r="L11" t="s">
        <v>64</v>
      </c>
    </row>
    <row r="12" spans="1:18" ht="18" customHeight="1" x14ac:dyDescent="0.3">
      <c r="A12" s="196"/>
      <c r="B12" s="248"/>
      <c r="C12" s="258" t="s">
        <v>2</v>
      </c>
      <c r="D12" s="258"/>
      <c r="E12" s="266"/>
      <c r="F12" s="66">
        <v>503.99999999999994</v>
      </c>
      <c r="G12" s="4"/>
      <c r="H12" s="247">
        <f t="shared" ref="H12:H20" si="0">F12*G12</f>
        <v>0</v>
      </c>
      <c r="I12" s="200"/>
    </row>
    <row r="13" spans="1:18" ht="18" customHeight="1" x14ac:dyDescent="0.3">
      <c r="A13" s="196"/>
      <c r="B13" s="248"/>
      <c r="C13" s="258" t="s">
        <v>3</v>
      </c>
      <c r="D13" s="258"/>
      <c r="E13" s="266"/>
      <c r="F13" s="66">
        <v>0</v>
      </c>
      <c r="G13" s="8"/>
      <c r="H13" s="247">
        <f t="shared" si="0"/>
        <v>0</v>
      </c>
      <c r="I13" s="200"/>
    </row>
    <row r="14" spans="1:18" ht="18" customHeight="1" x14ac:dyDescent="0.3">
      <c r="A14" s="196"/>
      <c r="B14" s="248"/>
      <c r="C14" s="258" t="s">
        <v>4</v>
      </c>
      <c r="D14" s="258"/>
      <c r="E14" s="266"/>
      <c r="F14" s="66">
        <v>0</v>
      </c>
      <c r="G14" s="8"/>
      <c r="H14" s="247">
        <f t="shared" si="0"/>
        <v>0</v>
      </c>
      <c r="I14" s="200"/>
    </row>
    <row r="15" spans="1:18" ht="18" customHeight="1" x14ac:dyDescent="0.3">
      <c r="A15" s="196"/>
      <c r="B15" s="248"/>
      <c r="C15" s="258" t="s">
        <v>5</v>
      </c>
      <c r="D15" s="258"/>
      <c r="E15" s="266"/>
      <c r="F15" s="66">
        <v>0</v>
      </c>
      <c r="G15" s="8"/>
      <c r="H15" s="247">
        <f t="shared" si="0"/>
        <v>0</v>
      </c>
      <c r="I15" s="200"/>
    </row>
    <row r="16" spans="1:18" ht="18" customHeight="1" x14ac:dyDescent="0.3">
      <c r="A16" s="196"/>
      <c r="B16" s="248"/>
      <c r="C16" s="258" t="s">
        <v>6</v>
      </c>
      <c r="D16" s="258"/>
      <c r="E16" s="266"/>
      <c r="F16" s="66">
        <v>505.4</v>
      </c>
      <c r="G16" s="8"/>
      <c r="H16" s="247">
        <f t="shared" si="0"/>
        <v>0</v>
      </c>
      <c r="I16" s="200"/>
    </row>
    <row r="17" spans="1:9" ht="18" customHeight="1" x14ac:dyDescent="0.3">
      <c r="A17" s="196"/>
      <c r="B17" s="248"/>
      <c r="C17" s="258" t="s">
        <v>7</v>
      </c>
      <c r="D17" s="258"/>
      <c r="E17" s="266"/>
      <c r="F17" s="66">
        <v>505.4</v>
      </c>
      <c r="G17" s="8"/>
      <c r="H17" s="247">
        <f t="shared" si="0"/>
        <v>0</v>
      </c>
      <c r="I17" s="200"/>
    </row>
    <row r="18" spans="1:9" ht="18" customHeight="1" x14ac:dyDescent="0.3">
      <c r="A18" s="196"/>
      <c r="B18" s="248">
        <v>7</v>
      </c>
      <c r="C18" s="249" t="s">
        <v>68</v>
      </c>
      <c r="D18" s="249"/>
      <c r="E18" s="250" t="s">
        <v>125</v>
      </c>
      <c r="F18" s="66">
        <v>0</v>
      </c>
      <c r="G18" s="8"/>
      <c r="H18" s="247"/>
      <c r="I18" s="200"/>
    </row>
    <row r="19" spans="1:9" ht="18" customHeight="1" x14ac:dyDescent="0.3">
      <c r="A19" s="196"/>
      <c r="B19" s="248">
        <v>8</v>
      </c>
      <c r="C19" s="249" t="s">
        <v>107</v>
      </c>
      <c r="D19" s="249"/>
      <c r="E19" s="250"/>
      <c r="F19" s="66">
        <v>2690.7999999999997</v>
      </c>
      <c r="G19" s="8"/>
      <c r="H19" s="247">
        <f t="shared" si="0"/>
        <v>0</v>
      </c>
      <c r="I19" s="200"/>
    </row>
    <row r="20" spans="1:9" ht="18" customHeight="1" x14ac:dyDescent="0.3">
      <c r="A20" s="196"/>
      <c r="B20" s="248">
        <v>9</v>
      </c>
      <c r="C20" s="249" t="s">
        <v>108</v>
      </c>
      <c r="D20" s="249"/>
      <c r="E20" s="250"/>
      <c r="F20" s="66">
        <v>5486.5999999999995</v>
      </c>
      <c r="G20" s="8"/>
      <c r="H20" s="247">
        <f t="shared" si="0"/>
        <v>0</v>
      </c>
      <c r="I20" s="200"/>
    </row>
    <row r="21" spans="1:9" ht="18" customHeight="1" x14ac:dyDescent="0.3">
      <c r="A21" s="196"/>
      <c r="B21" s="301" t="s">
        <v>8</v>
      </c>
      <c r="C21" s="302"/>
      <c r="D21" s="263"/>
      <c r="E21" s="263"/>
      <c r="F21" s="263"/>
      <c r="G21" s="263"/>
      <c r="H21" s="264"/>
      <c r="I21" s="200"/>
    </row>
    <row r="22" spans="1:9" ht="18" customHeight="1" x14ac:dyDescent="0.3">
      <c r="A22" s="196"/>
      <c r="B22" s="248">
        <v>10</v>
      </c>
      <c r="C22" s="249" t="s">
        <v>9</v>
      </c>
      <c r="D22" s="249"/>
      <c r="E22" s="250" t="s">
        <v>71</v>
      </c>
      <c r="F22" s="66">
        <v>571.19999999999993</v>
      </c>
      <c r="G22" s="9"/>
      <c r="H22" s="247">
        <f t="shared" ref="H22:H72" si="1">F22*G22</f>
        <v>0</v>
      </c>
      <c r="I22" s="200"/>
    </row>
    <row r="23" spans="1:9" ht="18" customHeight="1" x14ac:dyDescent="0.3">
      <c r="A23" s="196"/>
      <c r="B23" s="248">
        <v>11</v>
      </c>
      <c r="C23" s="249" t="s">
        <v>10</v>
      </c>
      <c r="D23" s="249"/>
      <c r="E23" s="250"/>
      <c r="F23" s="66">
        <v>0</v>
      </c>
      <c r="G23" s="9"/>
      <c r="H23" s="247"/>
      <c r="I23" s="200"/>
    </row>
    <row r="24" spans="1:9" ht="18" customHeight="1" x14ac:dyDescent="0.3">
      <c r="A24" s="196"/>
      <c r="B24" s="248"/>
      <c r="C24" s="258" t="s">
        <v>11</v>
      </c>
      <c r="D24" s="258"/>
      <c r="E24" s="266"/>
      <c r="F24" s="66">
        <v>0</v>
      </c>
      <c r="G24" s="4"/>
      <c r="H24" s="247">
        <f t="shared" si="1"/>
        <v>0</v>
      </c>
      <c r="I24" s="200"/>
    </row>
    <row r="25" spans="1:9" ht="18" customHeight="1" x14ac:dyDescent="0.3">
      <c r="A25" s="196"/>
      <c r="B25" s="248"/>
      <c r="C25" s="258" t="s">
        <v>12</v>
      </c>
      <c r="D25" s="258"/>
      <c r="E25" s="266"/>
      <c r="F25" s="66">
        <v>546</v>
      </c>
      <c r="G25" s="4"/>
      <c r="H25" s="247">
        <f t="shared" si="1"/>
        <v>0</v>
      </c>
      <c r="I25" s="200"/>
    </row>
    <row r="26" spans="1:9" ht="18" customHeight="1" x14ac:dyDescent="0.3">
      <c r="A26" s="196"/>
      <c r="B26" s="248"/>
      <c r="C26" s="258" t="s">
        <v>13</v>
      </c>
      <c r="D26" s="258"/>
      <c r="E26" s="266"/>
      <c r="F26" s="66">
        <v>546</v>
      </c>
      <c r="G26" s="4"/>
      <c r="H26" s="247">
        <f t="shared" si="1"/>
        <v>0</v>
      </c>
      <c r="I26" s="200"/>
    </row>
    <row r="27" spans="1:9" ht="18" customHeight="1" x14ac:dyDescent="0.3">
      <c r="A27" s="196"/>
      <c r="B27" s="248"/>
      <c r="C27" s="258" t="s">
        <v>14</v>
      </c>
      <c r="D27" s="258"/>
      <c r="E27" s="266"/>
      <c r="F27" s="66">
        <v>702.8</v>
      </c>
      <c r="G27" s="4"/>
      <c r="H27" s="247">
        <f t="shared" si="1"/>
        <v>0</v>
      </c>
      <c r="I27" s="200"/>
    </row>
    <row r="28" spans="1:9" ht="18" customHeight="1" x14ac:dyDescent="0.3">
      <c r="A28" s="196"/>
      <c r="B28" s="248"/>
      <c r="C28" s="258" t="s">
        <v>15</v>
      </c>
      <c r="D28" s="258"/>
      <c r="E28" s="266"/>
      <c r="F28" s="66">
        <v>905.8</v>
      </c>
      <c r="G28" s="4"/>
      <c r="H28" s="247">
        <f t="shared" si="1"/>
        <v>0</v>
      </c>
      <c r="I28" s="200"/>
    </row>
    <row r="29" spans="1:9" ht="18" customHeight="1" x14ac:dyDescent="0.3">
      <c r="A29" s="196"/>
      <c r="B29" s="248">
        <v>12</v>
      </c>
      <c r="C29" s="249" t="s">
        <v>16</v>
      </c>
      <c r="D29" s="249"/>
      <c r="E29" s="250"/>
      <c r="F29" s="66">
        <v>0</v>
      </c>
      <c r="G29" s="9"/>
      <c r="H29" s="247"/>
      <c r="I29" s="200"/>
    </row>
    <row r="30" spans="1:9" ht="18" customHeight="1" x14ac:dyDescent="0.3">
      <c r="A30" s="196"/>
      <c r="B30" s="248"/>
      <c r="C30" s="258" t="s">
        <v>17</v>
      </c>
      <c r="D30" s="258"/>
      <c r="E30" s="266"/>
      <c r="F30" s="66">
        <v>0</v>
      </c>
      <c r="G30" s="4"/>
      <c r="H30" s="247">
        <f t="shared" si="1"/>
        <v>0</v>
      </c>
      <c r="I30" s="200"/>
    </row>
    <row r="31" spans="1:9" ht="18" customHeight="1" x14ac:dyDescent="0.3">
      <c r="A31" s="196"/>
      <c r="B31" s="248"/>
      <c r="C31" s="258" t="s">
        <v>13</v>
      </c>
      <c r="D31" s="258"/>
      <c r="E31" s="266"/>
      <c r="F31" s="66">
        <v>546</v>
      </c>
      <c r="G31" s="4"/>
      <c r="H31" s="247">
        <f t="shared" si="1"/>
        <v>0</v>
      </c>
      <c r="I31" s="200"/>
    </row>
    <row r="32" spans="1:9" ht="18" customHeight="1" x14ac:dyDescent="0.3">
      <c r="A32" s="196"/>
      <c r="B32" s="248"/>
      <c r="C32" s="258" t="s">
        <v>14</v>
      </c>
      <c r="D32" s="258"/>
      <c r="E32" s="266"/>
      <c r="F32" s="66">
        <v>702.8</v>
      </c>
      <c r="G32" s="4"/>
      <c r="H32" s="247">
        <f t="shared" si="1"/>
        <v>0</v>
      </c>
      <c r="I32" s="200"/>
    </row>
    <row r="33" spans="1:10" ht="18" customHeight="1" x14ac:dyDescent="0.3">
      <c r="A33" s="196"/>
      <c r="B33" s="248"/>
      <c r="C33" s="258" t="s">
        <v>15</v>
      </c>
      <c r="D33" s="258"/>
      <c r="E33" s="266"/>
      <c r="F33" s="66">
        <v>905.8</v>
      </c>
      <c r="G33" s="4"/>
      <c r="H33" s="247">
        <f t="shared" si="1"/>
        <v>0</v>
      </c>
      <c r="I33" s="200"/>
    </row>
    <row r="34" spans="1:10" ht="18" customHeight="1" x14ac:dyDescent="0.3">
      <c r="A34" s="196"/>
      <c r="B34" s="248">
        <v>13</v>
      </c>
      <c r="C34" s="249" t="s">
        <v>18</v>
      </c>
      <c r="D34" s="249"/>
      <c r="E34" s="250" t="s">
        <v>72</v>
      </c>
      <c r="F34" s="66">
        <v>702.8</v>
      </c>
      <c r="G34" s="9"/>
      <c r="H34" s="247">
        <f t="shared" si="1"/>
        <v>0</v>
      </c>
      <c r="I34" s="200"/>
    </row>
    <row r="35" spans="1:10" ht="18" customHeight="1" x14ac:dyDescent="0.3">
      <c r="A35" s="196"/>
      <c r="B35" s="248">
        <v>14</v>
      </c>
      <c r="C35" s="249" t="s">
        <v>19</v>
      </c>
      <c r="D35" s="249"/>
      <c r="E35" s="250" t="s">
        <v>72</v>
      </c>
      <c r="F35" s="66">
        <v>546</v>
      </c>
      <c r="G35" s="9"/>
      <c r="H35" s="247">
        <f t="shared" si="1"/>
        <v>0</v>
      </c>
      <c r="I35" s="200"/>
    </row>
    <row r="36" spans="1:10" ht="18" customHeight="1" x14ac:dyDescent="0.3">
      <c r="A36" s="196"/>
      <c r="B36" s="248">
        <v>15</v>
      </c>
      <c r="C36" s="249" t="s">
        <v>75</v>
      </c>
      <c r="D36" s="249"/>
      <c r="E36" s="250" t="s">
        <v>72</v>
      </c>
      <c r="F36" s="66">
        <v>1887.1999999999998</v>
      </c>
      <c r="G36" s="9"/>
      <c r="H36" s="247">
        <f t="shared" si="1"/>
        <v>0</v>
      </c>
      <c r="I36" s="200"/>
    </row>
    <row r="37" spans="1:10" ht="18" customHeight="1" x14ac:dyDescent="0.3">
      <c r="A37" s="196"/>
      <c r="B37" s="248">
        <v>16</v>
      </c>
      <c r="C37" s="249" t="s">
        <v>20</v>
      </c>
      <c r="D37" s="249"/>
      <c r="E37" s="250" t="s">
        <v>72</v>
      </c>
      <c r="F37" s="66">
        <v>3190.6</v>
      </c>
      <c r="G37" s="9"/>
      <c r="H37" s="247">
        <f t="shared" si="1"/>
        <v>0</v>
      </c>
      <c r="I37" s="200"/>
    </row>
    <row r="38" spans="1:10" ht="18" customHeight="1" x14ac:dyDescent="0.3">
      <c r="A38" s="196"/>
      <c r="B38" s="248">
        <v>17</v>
      </c>
      <c r="C38" s="249" t="s">
        <v>76</v>
      </c>
      <c r="D38" s="249"/>
      <c r="E38" s="250" t="s">
        <v>72</v>
      </c>
      <c r="F38" s="66">
        <v>1785</v>
      </c>
      <c r="G38" s="9"/>
      <c r="H38" s="247">
        <f t="shared" si="1"/>
        <v>0</v>
      </c>
      <c r="I38" s="200"/>
    </row>
    <row r="39" spans="1:10" ht="18" customHeight="1" x14ac:dyDescent="0.3">
      <c r="A39" s="196"/>
      <c r="B39" s="248">
        <v>18</v>
      </c>
      <c r="C39" s="249" t="s">
        <v>77</v>
      </c>
      <c r="D39" s="249"/>
      <c r="E39" s="250"/>
      <c r="F39" s="66">
        <v>1010.8</v>
      </c>
      <c r="G39" s="4"/>
      <c r="H39" s="247">
        <f t="shared" si="1"/>
        <v>0</v>
      </c>
      <c r="I39" s="200"/>
    </row>
    <row r="40" spans="1:10" ht="18" customHeight="1" x14ac:dyDescent="0.3">
      <c r="A40" s="196"/>
      <c r="B40" s="248">
        <v>19</v>
      </c>
      <c r="C40" s="249" t="s">
        <v>21</v>
      </c>
      <c r="D40" s="249"/>
      <c r="E40" s="250" t="s">
        <v>71</v>
      </c>
      <c r="F40" s="66">
        <v>240.79999999999998</v>
      </c>
      <c r="G40" s="9"/>
      <c r="H40" s="247">
        <f>F40*G40</f>
        <v>0</v>
      </c>
      <c r="I40" s="200"/>
    </row>
    <row r="41" spans="1:10" ht="18" customHeight="1" x14ac:dyDescent="0.3">
      <c r="A41" s="196"/>
      <c r="B41" s="301" t="s">
        <v>22</v>
      </c>
      <c r="C41" s="302"/>
      <c r="D41" s="263"/>
      <c r="E41" s="263"/>
      <c r="F41" s="263"/>
      <c r="G41" s="263"/>
      <c r="H41" s="264"/>
      <c r="I41" s="200"/>
      <c r="J41" s="265"/>
    </row>
    <row r="42" spans="1:10" ht="18" customHeight="1" x14ac:dyDescent="0.3">
      <c r="A42" s="196"/>
      <c r="B42" s="248">
        <v>20</v>
      </c>
      <c r="C42" s="249" t="s">
        <v>23</v>
      </c>
      <c r="D42" s="249"/>
      <c r="E42" s="250" t="s">
        <v>71</v>
      </c>
      <c r="F42" s="66">
        <v>62.999999999999993</v>
      </c>
      <c r="G42" s="9"/>
      <c r="H42" s="247">
        <f t="shared" si="1"/>
        <v>0</v>
      </c>
      <c r="I42" s="200"/>
    </row>
    <row r="43" spans="1:10" ht="18" customHeight="1" x14ac:dyDescent="0.3">
      <c r="A43" s="196"/>
      <c r="B43" s="248">
        <v>21</v>
      </c>
      <c r="C43" s="249" t="s">
        <v>24</v>
      </c>
      <c r="D43" s="249"/>
      <c r="E43" s="250" t="s">
        <v>71</v>
      </c>
      <c r="F43" s="66">
        <v>96.6</v>
      </c>
      <c r="G43" s="9"/>
      <c r="H43" s="247">
        <f>F43*G43</f>
        <v>0</v>
      </c>
      <c r="I43" s="200"/>
    </row>
    <row r="44" spans="1:10" ht="18" customHeight="1" x14ac:dyDescent="0.3">
      <c r="A44" s="196"/>
      <c r="B44" s="248">
        <v>22</v>
      </c>
      <c r="C44" s="249" t="s">
        <v>25</v>
      </c>
      <c r="D44" s="249"/>
      <c r="E44" s="250" t="s">
        <v>71</v>
      </c>
      <c r="F44" s="66">
        <v>229.6</v>
      </c>
      <c r="G44" s="9"/>
      <c r="H44" s="247">
        <f t="shared" si="1"/>
        <v>0</v>
      </c>
      <c r="I44" s="200"/>
    </row>
    <row r="45" spans="1:10" ht="18" customHeight="1" x14ac:dyDescent="0.3">
      <c r="A45" s="196"/>
      <c r="B45" s="248">
        <v>23</v>
      </c>
      <c r="C45" s="249" t="s">
        <v>26</v>
      </c>
      <c r="D45" s="249"/>
      <c r="E45" s="250" t="s">
        <v>71</v>
      </c>
      <c r="F45" s="66">
        <v>474.59999999999997</v>
      </c>
      <c r="G45" s="9"/>
      <c r="H45" s="247">
        <f t="shared" si="1"/>
        <v>0</v>
      </c>
      <c r="I45" s="200"/>
    </row>
    <row r="46" spans="1:10" ht="18" customHeight="1" x14ac:dyDescent="0.3">
      <c r="A46" s="196"/>
      <c r="B46" s="248">
        <v>24</v>
      </c>
      <c r="C46" s="249" t="s">
        <v>27</v>
      </c>
      <c r="D46" s="249"/>
      <c r="E46" s="250" t="s">
        <v>71</v>
      </c>
      <c r="F46" s="66">
        <v>474.59999999999997</v>
      </c>
      <c r="G46" s="9"/>
      <c r="H46" s="247">
        <f t="shared" si="1"/>
        <v>0</v>
      </c>
      <c r="I46" s="200"/>
    </row>
    <row r="47" spans="1:10" ht="18" customHeight="1" x14ac:dyDescent="0.3">
      <c r="A47" s="196"/>
      <c r="B47" s="301" t="s">
        <v>28</v>
      </c>
      <c r="C47" s="302"/>
      <c r="D47" s="256"/>
      <c r="E47" s="256"/>
      <c r="F47" s="256"/>
      <c r="G47" s="256"/>
      <c r="H47" s="262"/>
      <c r="I47" s="200"/>
    </row>
    <row r="48" spans="1:10" ht="18" customHeight="1" x14ac:dyDescent="0.3">
      <c r="A48" s="196"/>
      <c r="B48" s="248">
        <v>25</v>
      </c>
      <c r="C48" s="249" t="s">
        <v>29</v>
      </c>
      <c r="D48" s="249"/>
      <c r="E48" s="257"/>
      <c r="F48" s="66">
        <v>0</v>
      </c>
      <c r="G48" s="9"/>
      <c r="H48" s="247"/>
      <c r="I48" s="200"/>
    </row>
    <row r="49" spans="1:9" ht="18" customHeight="1" x14ac:dyDescent="0.3">
      <c r="A49" s="196"/>
      <c r="B49" s="248"/>
      <c r="C49" s="258" t="s">
        <v>17</v>
      </c>
      <c r="D49" s="258"/>
      <c r="E49" s="259"/>
      <c r="F49" s="66">
        <v>0</v>
      </c>
      <c r="G49" s="4"/>
      <c r="H49" s="247">
        <f t="shared" si="1"/>
        <v>0</v>
      </c>
      <c r="I49" s="200"/>
    </row>
    <row r="50" spans="1:9" ht="18" customHeight="1" x14ac:dyDescent="0.3">
      <c r="A50" s="196"/>
      <c r="B50" s="248"/>
      <c r="C50" s="258" t="s">
        <v>13</v>
      </c>
      <c r="D50" s="258"/>
      <c r="E50" s="259"/>
      <c r="F50" s="66">
        <v>546</v>
      </c>
      <c r="G50" s="4"/>
      <c r="H50" s="247">
        <f t="shared" si="1"/>
        <v>0</v>
      </c>
      <c r="I50" s="200"/>
    </row>
    <row r="51" spans="1:9" ht="18" customHeight="1" x14ac:dyDescent="0.3">
      <c r="A51" s="196"/>
      <c r="B51" s="248"/>
      <c r="C51" s="260" t="s">
        <v>14</v>
      </c>
      <c r="D51" s="260"/>
      <c r="E51" s="261"/>
      <c r="F51" s="66">
        <v>704.19999999999993</v>
      </c>
      <c r="G51" s="4"/>
      <c r="H51" s="247">
        <f t="shared" si="1"/>
        <v>0</v>
      </c>
      <c r="I51" s="200"/>
    </row>
    <row r="52" spans="1:9" ht="18" customHeight="1" x14ac:dyDescent="0.3">
      <c r="A52" s="196"/>
      <c r="B52" s="248"/>
      <c r="C52" s="258" t="s">
        <v>30</v>
      </c>
      <c r="D52" s="258"/>
      <c r="E52" s="259"/>
      <c r="F52" s="66">
        <v>721</v>
      </c>
      <c r="G52" s="4"/>
      <c r="H52" s="247">
        <f t="shared" si="1"/>
        <v>0</v>
      </c>
      <c r="I52" s="200"/>
    </row>
    <row r="53" spans="1:9" ht="18" customHeight="1" x14ac:dyDescent="0.3">
      <c r="A53" s="196"/>
      <c r="B53" s="248"/>
      <c r="C53" s="258" t="s">
        <v>31</v>
      </c>
      <c r="D53" s="258"/>
      <c r="E53" s="259"/>
      <c r="F53" s="66">
        <v>879.19999999999993</v>
      </c>
      <c r="G53" s="4"/>
      <c r="H53" s="247">
        <f t="shared" si="1"/>
        <v>0</v>
      </c>
      <c r="I53" s="200"/>
    </row>
    <row r="54" spans="1:9" ht="18" customHeight="1" x14ac:dyDescent="0.3">
      <c r="A54" s="196"/>
      <c r="B54" s="248">
        <v>26</v>
      </c>
      <c r="C54" s="249" t="s">
        <v>32</v>
      </c>
      <c r="D54" s="249"/>
      <c r="E54" s="257"/>
      <c r="F54" s="66">
        <v>0</v>
      </c>
      <c r="G54" s="9"/>
      <c r="H54" s="247"/>
      <c r="I54" s="200"/>
    </row>
    <row r="55" spans="1:9" ht="18" customHeight="1" x14ac:dyDescent="0.3">
      <c r="A55" s="196"/>
      <c r="B55" s="248"/>
      <c r="C55" s="258" t="s">
        <v>33</v>
      </c>
      <c r="D55" s="258"/>
      <c r="E55" s="259"/>
      <c r="F55" s="66">
        <v>0</v>
      </c>
      <c r="G55" s="4"/>
      <c r="H55" s="247">
        <f t="shared" si="1"/>
        <v>0</v>
      </c>
      <c r="I55" s="200"/>
    </row>
    <row r="56" spans="1:9" ht="18" customHeight="1" x14ac:dyDescent="0.3">
      <c r="A56" s="196"/>
      <c r="B56" s="248"/>
      <c r="C56" s="258" t="s">
        <v>34</v>
      </c>
      <c r="D56" s="258"/>
      <c r="E56" s="259"/>
      <c r="F56" s="66">
        <v>1959.9999999999998</v>
      </c>
      <c r="G56" s="4"/>
      <c r="H56" s="247">
        <f t="shared" si="1"/>
        <v>0</v>
      </c>
      <c r="I56" s="200"/>
    </row>
    <row r="57" spans="1:9" ht="18" customHeight="1" x14ac:dyDescent="0.3">
      <c r="A57" s="196"/>
      <c r="B57" s="248"/>
      <c r="C57" s="258" t="s">
        <v>35</v>
      </c>
      <c r="D57" s="258"/>
      <c r="E57" s="257"/>
      <c r="F57" s="66">
        <v>0</v>
      </c>
      <c r="G57" s="4"/>
      <c r="H57" s="247">
        <f t="shared" si="1"/>
        <v>0</v>
      </c>
      <c r="I57" s="200"/>
    </row>
    <row r="58" spans="1:9" ht="18" customHeight="1" x14ac:dyDescent="0.3">
      <c r="A58" s="196"/>
      <c r="B58" s="301" t="s">
        <v>36</v>
      </c>
      <c r="C58" s="302"/>
      <c r="D58" s="256"/>
      <c r="E58" s="256"/>
      <c r="F58" s="256"/>
      <c r="G58" s="173"/>
      <c r="H58" s="180"/>
      <c r="I58" s="200"/>
    </row>
    <row r="59" spans="1:9" ht="18" customHeight="1" x14ac:dyDescent="0.3">
      <c r="A59" s="196"/>
      <c r="B59" s="248">
        <v>27</v>
      </c>
      <c r="C59" s="249" t="s">
        <v>37</v>
      </c>
      <c r="D59" s="249"/>
      <c r="E59" s="257"/>
      <c r="F59" s="66">
        <v>163.80000000000001</v>
      </c>
      <c r="G59" s="4"/>
      <c r="H59" s="247">
        <f t="shared" si="1"/>
        <v>0</v>
      </c>
      <c r="I59" s="200"/>
    </row>
    <row r="60" spans="1:9" ht="18" customHeight="1" x14ac:dyDescent="0.3">
      <c r="A60" s="196"/>
      <c r="B60" s="248">
        <v>28</v>
      </c>
      <c r="C60" s="249" t="s">
        <v>38</v>
      </c>
      <c r="D60" s="249"/>
      <c r="E60" s="257"/>
      <c r="F60" s="66">
        <v>0</v>
      </c>
      <c r="G60" s="4"/>
      <c r="H60" s="247">
        <f t="shared" si="1"/>
        <v>0</v>
      </c>
      <c r="I60" s="200"/>
    </row>
    <row r="61" spans="1:9" ht="18" customHeight="1" x14ac:dyDescent="0.3">
      <c r="A61" s="196"/>
      <c r="B61" s="248">
        <v>29</v>
      </c>
      <c r="C61" s="249" t="s">
        <v>39</v>
      </c>
      <c r="D61" s="249"/>
      <c r="E61" s="257"/>
      <c r="F61" s="66">
        <v>0</v>
      </c>
      <c r="G61" s="4"/>
      <c r="H61" s="247">
        <f t="shared" si="1"/>
        <v>0</v>
      </c>
      <c r="I61" s="200"/>
    </row>
    <row r="62" spans="1:9" ht="18" customHeight="1" x14ac:dyDescent="0.3">
      <c r="A62" s="196"/>
      <c r="B62" s="248">
        <v>30</v>
      </c>
      <c r="C62" s="249" t="s">
        <v>40</v>
      </c>
      <c r="D62" s="249"/>
      <c r="E62" s="257"/>
      <c r="F62" s="66">
        <v>126</v>
      </c>
      <c r="G62" s="4"/>
      <c r="H62" s="247">
        <f t="shared" si="1"/>
        <v>0</v>
      </c>
      <c r="I62" s="200"/>
    </row>
    <row r="63" spans="1:9" ht="18" customHeight="1" x14ac:dyDescent="0.3">
      <c r="A63" s="196"/>
      <c r="B63" s="248">
        <v>31</v>
      </c>
      <c r="C63" s="249" t="s">
        <v>41</v>
      </c>
      <c r="D63" s="249"/>
      <c r="E63" s="257"/>
      <c r="F63" s="66">
        <v>1353.8</v>
      </c>
      <c r="G63" s="4"/>
      <c r="H63" s="247">
        <f t="shared" si="1"/>
        <v>0</v>
      </c>
      <c r="I63" s="200"/>
    </row>
    <row r="64" spans="1:9" ht="18" customHeight="1" x14ac:dyDescent="0.3">
      <c r="A64" s="196"/>
      <c r="B64" s="301" t="s">
        <v>42</v>
      </c>
      <c r="C64" s="302"/>
      <c r="D64" s="256"/>
      <c r="E64" s="256"/>
      <c r="F64" s="256"/>
      <c r="G64" s="173"/>
      <c r="H64" s="180"/>
      <c r="I64" s="200"/>
    </row>
    <row r="65" spans="1:9" ht="18" customHeight="1" x14ac:dyDescent="0.3">
      <c r="A65" s="196"/>
      <c r="B65" s="248">
        <v>32</v>
      </c>
      <c r="C65" s="249" t="s">
        <v>43</v>
      </c>
      <c r="D65" s="249"/>
      <c r="E65" s="250"/>
      <c r="F65" s="66">
        <v>197.39999999999998</v>
      </c>
      <c r="G65" s="4"/>
      <c r="H65" s="247">
        <f t="shared" si="1"/>
        <v>0</v>
      </c>
      <c r="I65" s="200"/>
    </row>
    <row r="66" spans="1:9" ht="18" customHeight="1" x14ac:dyDescent="0.3">
      <c r="A66" s="196"/>
      <c r="B66" s="248">
        <v>33</v>
      </c>
      <c r="C66" s="249" t="s">
        <v>44</v>
      </c>
      <c r="D66" s="249"/>
      <c r="E66" s="250" t="s">
        <v>72</v>
      </c>
      <c r="F66" s="66">
        <v>396.2</v>
      </c>
      <c r="G66" s="9"/>
      <c r="H66" s="247">
        <f t="shared" si="1"/>
        <v>0</v>
      </c>
      <c r="I66" s="200"/>
    </row>
    <row r="67" spans="1:9" ht="18" customHeight="1" x14ac:dyDescent="0.3">
      <c r="A67" s="196"/>
      <c r="B67" s="248">
        <v>34</v>
      </c>
      <c r="C67" s="249" t="s">
        <v>45</v>
      </c>
      <c r="D67" s="249"/>
      <c r="E67" s="250" t="s">
        <v>72</v>
      </c>
      <c r="F67" s="66">
        <v>42</v>
      </c>
      <c r="G67" s="9"/>
      <c r="H67" s="247">
        <f t="shared" si="1"/>
        <v>0</v>
      </c>
      <c r="I67" s="200"/>
    </row>
    <row r="68" spans="1:9" ht="18" customHeight="1" x14ac:dyDescent="0.3">
      <c r="A68" s="196"/>
      <c r="B68" s="248">
        <v>35</v>
      </c>
      <c r="C68" s="249" t="s">
        <v>46</v>
      </c>
      <c r="D68" s="249"/>
      <c r="E68" s="250" t="s">
        <v>72</v>
      </c>
      <c r="F68" s="66">
        <v>261.8</v>
      </c>
      <c r="G68" s="9"/>
      <c r="H68" s="247">
        <f t="shared" si="1"/>
        <v>0</v>
      </c>
      <c r="I68" s="200"/>
    </row>
    <row r="69" spans="1:9" ht="18" customHeight="1" x14ac:dyDescent="0.3">
      <c r="A69" s="196"/>
      <c r="B69" s="248">
        <v>36</v>
      </c>
      <c r="C69" s="249" t="s">
        <v>47</v>
      </c>
      <c r="D69" s="249"/>
      <c r="E69" s="250"/>
      <c r="F69" s="66">
        <v>474.59999999999997</v>
      </c>
      <c r="G69" s="4"/>
      <c r="H69" s="247">
        <f t="shared" si="1"/>
        <v>0</v>
      </c>
      <c r="I69" s="200"/>
    </row>
    <row r="70" spans="1:9" ht="18" customHeight="1" x14ac:dyDescent="0.3">
      <c r="A70" s="196"/>
      <c r="B70" s="248" t="s">
        <v>214</v>
      </c>
      <c r="C70" s="249" t="s">
        <v>215</v>
      </c>
      <c r="D70" s="249"/>
      <c r="E70" s="250"/>
      <c r="F70" s="66">
        <v>173.6</v>
      </c>
      <c r="G70" s="4"/>
      <c r="H70" s="247">
        <f t="shared" si="1"/>
        <v>0</v>
      </c>
      <c r="I70" s="200"/>
    </row>
    <row r="71" spans="1:9" ht="18" customHeight="1" x14ac:dyDescent="0.3">
      <c r="A71" s="196"/>
      <c r="B71" s="248" t="s">
        <v>216</v>
      </c>
      <c r="C71" s="249" t="s">
        <v>217</v>
      </c>
      <c r="D71" s="249"/>
      <c r="E71" s="250"/>
      <c r="F71" s="66">
        <v>173.6</v>
      </c>
      <c r="G71" s="4"/>
      <c r="H71" s="247">
        <f t="shared" si="1"/>
        <v>0</v>
      </c>
      <c r="I71" s="200"/>
    </row>
    <row r="72" spans="1:9" ht="18" customHeight="1" x14ac:dyDescent="0.3">
      <c r="A72" s="196"/>
      <c r="B72" s="248">
        <v>37</v>
      </c>
      <c r="C72" s="249" t="s">
        <v>48</v>
      </c>
      <c r="D72" s="249"/>
      <c r="E72" s="250"/>
      <c r="F72" s="66">
        <v>1500</v>
      </c>
      <c r="G72" s="4"/>
      <c r="H72" s="247">
        <f t="shared" si="1"/>
        <v>0</v>
      </c>
      <c r="I72" s="200"/>
    </row>
    <row r="73" spans="1:9" ht="18" customHeight="1" x14ac:dyDescent="0.3">
      <c r="A73" s="196"/>
      <c r="B73" s="248">
        <v>38</v>
      </c>
      <c r="C73" s="249" t="s">
        <v>49</v>
      </c>
      <c r="D73" s="249"/>
      <c r="E73" s="250" t="s">
        <v>71</v>
      </c>
      <c r="F73" s="66">
        <v>630</v>
      </c>
      <c r="G73" s="9"/>
      <c r="H73" s="247">
        <f t="shared" ref="H73:H88" si="2">F73*G73</f>
        <v>0</v>
      </c>
      <c r="I73" s="255"/>
    </row>
    <row r="74" spans="1:9" ht="18" customHeight="1" x14ac:dyDescent="0.3">
      <c r="A74" s="196"/>
      <c r="B74" s="248">
        <v>39</v>
      </c>
      <c r="C74" s="249" t="s">
        <v>50</v>
      </c>
      <c r="D74" s="249"/>
      <c r="E74" s="250"/>
      <c r="F74" s="66">
        <v>546</v>
      </c>
      <c r="G74" s="4"/>
      <c r="H74" s="247">
        <f t="shared" si="2"/>
        <v>0</v>
      </c>
      <c r="I74" s="200"/>
    </row>
    <row r="75" spans="1:9" ht="18" customHeight="1" x14ac:dyDescent="0.3">
      <c r="A75" s="196"/>
      <c r="B75" s="248">
        <v>40</v>
      </c>
      <c r="C75" s="249" t="s">
        <v>51</v>
      </c>
      <c r="D75" s="249"/>
      <c r="E75" s="250"/>
      <c r="F75" s="66">
        <v>474.59999999999997</v>
      </c>
      <c r="G75" s="4"/>
      <c r="H75" s="247">
        <f>F75*G75</f>
        <v>0</v>
      </c>
      <c r="I75" s="200"/>
    </row>
    <row r="76" spans="1:9" ht="18" customHeight="1" x14ac:dyDescent="0.3">
      <c r="A76" s="196"/>
      <c r="B76" s="248">
        <v>41</v>
      </c>
      <c r="C76" s="249" t="s">
        <v>52</v>
      </c>
      <c r="D76" s="249"/>
      <c r="E76" s="250"/>
      <c r="F76" s="66">
        <v>378</v>
      </c>
      <c r="G76" s="4"/>
      <c r="H76" s="247">
        <f>F76*G76</f>
        <v>0</v>
      </c>
      <c r="I76" s="200"/>
    </row>
    <row r="77" spans="1:9" ht="18" customHeight="1" x14ac:dyDescent="0.3">
      <c r="A77" s="196"/>
      <c r="B77" s="248">
        <v>42</v>
      </c>
      <c r="C77" s="249" t="s">
        <v>53</v>
      </c>
      <c r="D77" s="249"/>
      <c r="E77" s="250"/>
      <c r="F77" s="66">
        <v>474.59999999999997</v>
      </c>
      <c r="G77" s="4"/>
      <c r="H77" s="247">
        <f t="shared" si="2"/>
        <v>0</v>
      </c>
      <c r="I77" s="200"/>
    </row>
    <row r="78" spans="1:9" ht="18" customHeight="1" x14ac:dyDescent="0.3">
      <c r="A78" s="196"/>
      <c r="B78" s="248">
        <v>43</v>
      </c>
      <c r="C78" s="249" t="s">
        <v>54</v>
      </c>
      <c r="D78" s="249"/>
      <c r="E78" s="250"/>
      <c r="F78" s="66">
        <v>259</v>
      </c>
      <c r="G78" s="4"/>
      <c r="H78" s="247">
        <f t="shared" si="2"/>
        <v>0</v>
      </c>
      <c r="I78" s="200"/>
    </row>
    <row r="79" spans="1:9" ht="18" customHeight="1" x14ac:dyDescent="0.3">
      <c r="A79" s="196"/>
      <c r="B79" s="248">
        <v>44</v>
      </c>
      <c r="C79" s="249" t="s">
        <v>55</v>
      </c>
      <c r="D79" s="249"/>
      <c r="E79" s="250"/>
      <c r="F79" s="66">
        <v>460.59999999999997</v>
      </c>
      <c r="G79" s="4"/>
      <c r="H79" s="247">
        <f t="shared" si="2"/>
        <v>0</v>
      </c>
      <c r="I79" s="200"/>
    </row>
    <row r="80" spans="1:9" ht="18" customHeight="1" x14ac:dyDescent="0.3">
      <c r="A80" s="196"/>
      <c r="B80" s="248">
        <v>45</v>
      </c>
      <c r="C80" s="249" t="s">
        <v>103</v>
      </c>
      <c r="D80" s="249"/>
      <c r="E80" s="250"/>
      <c r="F80" s="66">
        <v>3057.6</v>
      </c>
      <c r="G80" s="4"/>
      <c r="H80" s="247">
        <f t="shared" si="2"/>
        <v>0</v>
      </c>
      <c r="I80" s="200"/>
    </row>
    <row r="81" spans="1:9" ht="18" customHeight="1" x14ac:dyDescent="0.3">
      <c r="A81" s="196"/>
      <c r="B81" s="248">
        <v>46</v>
      </c>
      <c r="C81" s="249" t="s">
        <v>104</v>
      </c>
      <c r="D81" s="249"/>
      <c r="E81" s="250"/>
      <c r="F81" s="66">
        <v>649.59999999999991</v>
      </c>
      <c r="G81" s="4"/>
      <c r="H81" s="247">
        <f t="shared" si="2"/>
        <v>0</v>
      </c>
      <c r="I81" s="200"/>
    </row>
    <row r="82" spans="1:9" ht="18" customHeight="1" x14ac:dyDescent="0.3">
      <c r="A82" s="196"/>
      <c r="B82" s="248">
        <v>47</v>
      </c>
      <c r="C82" s="249" t="s">
        <v>105</v>
      </c>
      <c r="D82" s="249"/>
      <c r="E82" s="250"/>
      <c r="F82" s="66">
        <v>5184.2</v>
      </c>
      <c r="G82" s="4"/>
      <c r="H82" s="247">
        <f t="shared" si="2"/>
        <v>0</v>
      </c>
      <c r="I82" s="200"/>
    </row>
    <row r="83" spans="1:9" ht="18" customHeight="1" x14ac:dyDescent="0.3">
      <c r="A83" s="196"/>
      <c r="B83" s="248">
        <v>48</v>
      </c>
      <c r="C83" s="249" t="s">
        <v>56</v>
      </c>
      <c r="D83" s="249"/>
      <c r="E83" s="250" t="s">
        <v>72</v>
      </c>
      <c r="F83" s="66">
        <v>8.3999999999999986</v>
      </c>
      <c r="G83" s="9"/>
      <c r="H83" s="247">
        <f t="shared" si="2"/>
        <v>0</v>
      </c>
      <c r="I83" s="200"/>
    </row>
    <row r="84" spans="1:9" ht="18" customHeight="1" x14ac:dyDescent="0.3">
      <c r="A84" s="196"/>
      <c r="B84" s="248">
        <v>49</v>
      </c>
      <c r="C84" s="249" t="s">
        <v>57</v>
      </c>
      <c r="D84" s="249"/>
      <c r="E84" s="250"/>
      <c r="F84" s="66">
        <v>217</v>
      </c>
      <c r="G84" s="4"/>
      <c r="H84" s="247">
        <f t="shared" si="2"/>
        <v>0</v>
      </c>
      <c r="I84" s="200"/>
    </row>
    <row r="85" spans="1:9" ht="18" customHeight="1" x14ac:dyDescent="0.3">
      <c r="A85" s="196"/>
      <c r="B85" s="248">
        <v>50</v>
      </c>
      <c r="C85" s="249" t="s">
        <v>58</v>
      </c>
      <c r="D85" s="249"/>
      <c r="E85" s="250"/>
      <c r="F85" s="66">
        <v>399</v>
      </c>
      <c r="G85" s="4"/>
      <c r="H85" s="247">
        <f t="shared" si="2"/>
        <v>0</v>
      </c>
      <c r="I85" s="200"/>
    </row>
    <row r="86" spans="1:9" ht="18" customHeight="1" x14ac:dyDescent="0.3">
      <c r="A86" s="196"/>
      <c r="B86" s="248">
        <v>51</v>
      </c>
      <c r="C86" s="249" t="s">
        <v>212</v>
      </c>
      <c r="D86" s="249"/>
      <c r="E86" s="250"/>
      <c r="F86" s="66">
        <v>324.79999999999995</v>
      </c>
      <c r="G86" s="4"/>
      <c r="H86" s="247">
        <f t="shared" si="2"/>
        <v>0</v>
      </c>
      <c r="I86" s="200"/>
    </row>
    <row r="87" spans="1:9" ht="18" customHeight="1" x14ac:dyDescent="0.3">
      <c r="A87" s="196"/>
      <c r="B87" s="248">
        <v>52</v>
      </c>
      <c r="C87" s="249" t="s">
        <v>213</v>
      </c>
      <c r="D87" s="249"/>
      <c r="E87" s="250"/>
      <c r="F87" s="66">
        <v>277.2</v>
      </c>
      <c r="G87" s="4"/>
      <c r="H87" s="247">
        <f t="shared" si="2"/>
        <v>0</v>
      </c>
      <c r="I87" s="200"/>
    </row>
    <row r="88" spans="1:9" ht="18" customHeight="1" x14ac:dyDescent="0.3">
      <c r="A88" s="196"/>
      <c r="B88" s="248">
        <v>53</v>
      </c>
      <c r="C88" s="249" t="s">
        <v>106</v>
      </c>
      <c r="D88" s="249"/>
      <c r="E88" s="250"/>
      <c r="F88" s="66"/>
      <c r="G88" s="4"/>
      <c r="H88" s="247">
        <f t="shared" si="2"/>
        <v>0</v>
      </c>
      <c r="I88" s="200"/>
    </row>
    <row r="89" spans="1:9" ht="18" customHeight="1" x14ac:dyDescent="0.3">
      <c r="A89" s="196"/>
      <c r="B89" s="172"/>
      <c r="C89" s="173"/>
      <c r="D89" s="173"/>
      <c r="E89" s="173"/>
      <c r="F89" s="173"/>
      <c r="G89" s="173"/>
      <c r="H89" s="180"/>
      <c r="I89" s="200"/>
    </row>
    <row r="90" spans="1:9" ht="18" customHeight="1" x14ac:dyDescent="0.3">
      <c r="A90" s="196"/>
      <c r="B90" s="248">
        <v>54</v>
      </c>
      <c r="C90" s="252" t="s">
        <v>118</v>
      </c>
      <c r="D90" s="253"/>
      <c r="E90" s="254"/>
      <c r="F90" s="66">
        <f>IF(G22=0,0,IF(G22&lt;15,750,IF(G22&gt;14,1000,)))</f>
        <v>0</v>
      </c>
      <c r="G90" s="8"/>
      <c r="H90" s="251">
        <f>F90*G90</f>
        <v>0</v>
      </c>
      <c r="I90" s="200"/>
    </row>
    <row r="91" spans="1:9" ht="18" customHeight="1" x14ac:dyDescent="0.3">
      <c r="A91" s="196"/>
      <c r="B91" s="248">
        <v>55</v>
      </c>
      <c r="C91" s="249" t="s">
        <v>113</v>
      </c>
      <c r="D91" s="249"/>
      <c r="E91" s="250"/>
      <c r="F91" s="66">
        <v>500</v>
      </c>
      <c r="G91" s="218">
        <v>1</v>
      </c>
      <c r="H91" s="247">
        <v>0</v>
      </c>
      <c r="I91" s="200"/>
    </row>
    <row r="92" spans="1:9" ht="18" customHeight="1" x14ac:dyDescent="0.3">
      <c r="A92" s="196"/>
      <c r="B92" s="248">
        <v>56</v>
      </c>
      <c r="C92" s="249" t="s">
        <v>112</v>
      </c>
      <c r="D92" s="249"/>
      <c r="E92" s="250"/>
      <c r="F92" s="66">
        <f>IF(G22&lt;10,1400,IF(G22&lt;19,1900))+IF(G22&gt;18,2500)</f>
        <v>1400</v>
      </c>
      <c r="G92" s="218">
        <v>1</v>
      </c>
      <c r="H92" s="247">
        <v>0</v>
      </c>
      <c r="I92" s="200"/>
    </row>
    <row r="93" spans="1:9" ht="18" customHeight="1" x14ac:dyDescent="0.3">
      <c r="A93" s="196"/>
      <c r="B93" s="248">
        <v>57</v>
      </c>
      <c r="C93" s="249" t="s">
        <v>120</v>
      </c>
      <c r="D93" s="249"/>
      <c r="E93" s="250"/>
      <c r="F93" s="66">
        <f>G93*0.05*(SUM(H10:H90)+F91+F92)</f>
        <v>0</v>
      </c>
      <c r="G93" s="4"/>
      <c r="H93" s="247">
        <v>0</v>
      </c>
      <c r="I93" s="200"/>
    </row>
    <row r="94" spans="1:9" ht="19.2" customHeight="1" x14ac:dyDescent="0.3">
      <c r="A94" s="196"/>
      <c r="B94" s="135"/>
      <c r="C94" s="233"/>
      <c r="D94" s="233"/>
      <c r="E94" s="135"/>
      <c r="F94" s="245"/>
      <c r="G94" s="198"/>
      <c r="H94" s="236"/>
      <c r="I94" s="200"/>
    </row>
    <row r="95" spans="1:9" ht="30.6" customHeight="1" x14ac:dyDescent="0.3">
      <c r="A95" s="196"/>
      <c r="B95" s="135"/>
      <c r="C95" s="233"/>
      <c r="D95" s="285" t="s">
        <v>115</v>
      </c>
      <c r="E95" s="286"/>
      <c r="F95" s="287"/>
      <c r="G95" s="160">
        <f>SUM(H10:H90)+F93+F91+F92</f>
        <v>14806.599999999999</v>
      </c>
      <c r="H95" s="246"/>
      <c r="I95" s="200"/>
    </row>
    <row r="96" spans="1:9" ht="5.4" customHeight="1" x14ac:dyDescent="0.3">
      <c r="A96" s="196"/>
      <c r="B96" s="135"/>
      <c r="C96" s="233"/>
      <c r="D96" s="161"/>
      <c r="E96" s="164"/>
      <c r="F96" s="164"/>
      <c r="G96" s="164"/>
      <c r="H96" s="246"/>
      <c r="I96" s="200"/>
    </row>
    <row r="97" spans="1:9" ht="22.8" customHeight="1" x14ac:dyDescent="0.35">
      <c r="A97" s="196"/>
      <c r="B97" s="135"/>
      <c r="C97" s="233"/>
      <c r="D97" s="288" t="s">
        <v>114</v>
      </c>
      <c r="E97" s="289"/>
      <c r="F97" s="275">
        <v>0.2</v>
      </c>
      <c r="G97" s="166">
        <f>-(G95*G98)</f>
        <v>0</v>
      </c>
      <c r="H97" s="272" t="str">
        <f>IF(G98&gt;20%,"ATTENZIONE!","")</f>
        <v/>
      </c>
      <c r="I97" s="200"/>
    </row>
    <row r="98" spans="1:9" ht="24.6" customHeight="1" x14ac:dyDescent="0.3">
      <c r="A98" s="196"/>
      <c r="B98" s="135"/>
      <c r="C98" s="233"/>
      <c r="D98" s="244"/>
      <c r="E98" s="154"/>
      <c r="F98" s="127"/>
      <c r="G98" s="10">
        <v>0</v>
      </c>
      <c r="H98" s="271" t="str">
        <f>IF(G98&gt;20%,"SUPERATO LO SCONTO MASSIMO","")</f>
        <v/>
      </c>
      <c r="I98" s="200"/>
    </row>
    <row r="99" spans="1:9" ht="7.8" customHeight="1" x14ac:dyDescent="0.3">
      <c r="A99" s="196"/>
      <c r="B99" s="135"/>
      <c r="C99" s="233"/>
      <c r="D99" s="234"/>
      <c r="E99" s="127"/>
      <c r="F99" s="135"/>
      <c r="G99" s="131"/>
      <c r="H99" s="127"/>
      <c r="I99" s="200"/>
    </row>
    <row r="100" spans="1:9" ht="38.4" customHeight="1" x14ac:dyDescent="0.3">
      <c r="A100" s="196"/>
      <c r="B100" s="135"/>
      <c r="C100" s="135"/>
      <c r="D100" s="290" t="s">
        <v>204</v>
      </c>
      <c r="E100" s="291"/>
      <c r="F100" s="292"/>
      <c r="G100" s="136">
        <f>G95*(1-G98)</f>
        <v>14806.599999999999</v>
      </c>
      <c r="H100" s="235" t="str">
        <f>"+ IVA 4% = "&amp;G100*1.04</f>
        <v>+ IVA 4% = 15398,864</v>
      </c>
      <c r="I100" s="138"/>
    </row>
    <row r="101" spans="1:9" x14ac:dyDescent="0.3">
      <c r="A101" s="196"/>
      <c r="B101" s="135"/>
      <c r="C101" s="135"/>
      <c r="D101" s="135"/>
      <c r="E101" s="135"/>
      <c r="F101" s="135"/>
      <c r="G101" s="198"/>
      <c r="H101" s="236"/>
      <c r="I101" s="200"/>
    </row>
    <row r="102" spans="1:9" x14ac:dyDescent="0.3">
      <c r="A102" s="237"/>
      <c r="B102" s="238"/>
      <c r="C102" s="238"/>
      <c r="D102" s="238"/>
      <c r="E102" s="238"/>
      <c r="F102" s="238"/>
      <c r="G102" s="239"/>
      <c r="H102" s="240"/>
      <c r="I102" s="241"/>
    </row>
  </sheetData>
  <sheetProtection algorithmName="SHA-512" hashValue="phZAXpvDiYUI7JkEMm1YoiX6fa6/o7KUoV831oR/3hEK3aEbO7rG1/yrGllG7y5Edo6imwEyz4DqrUkA/cAZBQ==" saltValue="NBJ0bauobrxV4dbfSIdnWQ==" spinCount="100000" sheet="1" objects="1" scenarios="1" selectLockedCells="1"/>
  <mergeCells count="11">
    <mergeCell ref="D95:F95"/>
    <mergeCell ref="D100:F100"/>
    <mergeCell ref="H2:H3"/>
    <mergeCell ref="B5:C5"/>
    <mergeCell ref="D97:E97"/>
    <mergeCell ref="B2:E3"/>
    <mergeCell ref="B21:C21"/>
    <mergeCell ref="B41:C41"/>
    <mergeCell ref="B58:C58"/>
    <mergeCell ref="B64:C64"/>
    <mergeCell ref="B47:C47"/>
  </mergeCells>
  <dataValidations count="5">
    <dataValidation type="list" allowBlank="1" showInputMessage="1" showErrorMessage="1" sqref="I73" xr:uid="{A2141052-FA80-044C-84AE-3F9087B3E170}">
      <formula1>$O$7:$O$8</formula1>
    </dataValidation>
    <dataValidation type="list" allowBlank="1" showInputMessage="1" showErrorMessage="1" sqref="G10 G12 G24:G28 G30:G33 G39 G49:G53 G55:G57 G59:G63 G65 G69:G72 G74:G82 G84:G88 G91:G93" xr:uid="{42A13E0F-50DA-48F8-9902-3CA99FE785F6}">
      <formula1>"0,1"</formula1>
    </dataValidation>
    <dataValidation type="list" allowBlank="1" showInputMessage="1" showErrorMessage="1" sqref="G7" xr:uid="{438E8D61-032E-42D4-8A32-11046FFD8FDE}">
      <formula1>$L$7:$L$8</formula1>
    </dataValidation>
    <dataValidation type="list" allowBlank="1" showInputMessage="1" showErrorMessage="1" sqref="G8" xr:uid="{2AAE9BAD-69DC-4D2D-BBAB-7DD8F48A691C}">
      <formula1>$L$10:$L$11</formula1>
    </dataValidation>
    <dataValidation type="custom" allowBlank="1" showInputMessage="1" showErrorMessage="1" sqref="G98" xr:uid="{9175F3AC-5BC2-472B-A215-7A61DC8BBE5F}">
      <formula1>G98&lt;=F97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Facile Step SRC</vt:lpstr>
      <vt:lpstr>Facile Step SSC</vt:lpstr>
      <vt:lpstr>Facile Step X3</vt:lpstr>
      <vt:lpstr>Facile Step ARTIRA</vt:lpstr>
    </vt:vector>
  </TitlesOfParts>
  <Company>Medicalbroker srl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Gabriele Fabbris</dc:creator>
  <dc:description>OTTOBRE 2025</dc:description>
  <cp:lastModifiedBy>Gabriele Fabbris</cp:lastModifiedBy>
  <dcterms:created xsi:type="dcterms:W3CDTF">2023-08-01T10:08:42Z</dcterms:created>
  <dcterms:modified xsi:type="dcterms:W3CDTF">2026-02-11T09:44:37Z</dcterms:modified>
  <cp:version>2</cp:version>
</cp:coreProperties>
</file>