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ropbox\facilesalire_amministrazione\Listini di vendita\2026\"/>
    </mc:Choice>
  </mc:AlternateContent>
  <xr:revisionPtr revIDLastSave="0" documentId="13_ncr:1_{97F889E5-4BE8-419A-B22D-C726B9C9AD5D}" xr6:coauthVersionLast="47" xr6:coauthVersionMax="47" xr10:uidLastSave="{00000000-0000-0000-0000-000000000000}"/>
  <bookViews>
    <workbookView xWindow="28680" yWindow="-120" windowWidth="29040" windowHeight="15720" tabRatio="737" xr2:uid="{8A3F881E-DBE9-4941-842C-83FF940F62EA}"/>
  </bookViews>
  <sheets>
    <sheet name="Facile Sprint 1100" sheetId="4" r:id="rId1"/>
    <sheet name="Facile Elegance 1000" sheetId="3" r:id="rId2"/>
    <sheet name="Facile Superior H4000" sheetId="1" r:id="rId3"/>
    <sheet name="Facile Graziosa Freecurve" sheetId="2" r:id="rId4"/>
    <sheet name="Infinity Curvilineo Bespok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F31" i="1"/>
  <c r="F32" i="1"/>
  <c r="F43" i="5"/>
  <c r="F42" i="5"/>
  <c r="F41" i="2"/>
  <c r="F40" i="2"/>
  <c r="F50" i="1"/>
  <c r="F49" i="1"/>
  <c r="F40" i="3"/>
  <c r="F39" i="3"/>
  <c r="F30" i="3"/>
  <c r="F29" i="3"/>
  <c r="F30" i="1"/>
  <c r="F29" i="1"/>
  <c r="F30" i="2"/>
  <c r="F29" i="2"/>
  <c r="F30" i="4"/>
  <c r="F29" i="4"/>
  <c r="F40" i="1" l="1"/>
  <c r="F20" i="4" l="1"/>
  <c r="F6" i="5" l="1"/>
  <c r="F7" i="5"/>
  <c r="F8" i="5"/>
  <c r="F9" i="5"/>
  <c r="F11" i="5"/>
  <c r="F12" i="5"/>
  <c r="F13" i="5"/>
  <c r="F14" i="5"/>
  <c r="F16" i="5"/>
  <c r="F17" i="5"/>
  <c r="F18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D35" i="5"/>
  <c r="F35" i="5"/>
  <c r="D38" i="5" l="1"/>
  <c r="E40" i="5" s="1"/>
  <c r="F32" i="3"/>
  <c r="F10" i="1"/>
  <c r="F11" i="1"/>
  <c r="E42" i="5" l="1"/>
  <c r="E45" i="5"/>
  <c r="F45" i="5" s="1"/>
  <c r="D42" i="1"/>
  <c r="F42" i="1" s="1"/>
  <c r="D33" i="2"/>
  <c r="F33" i="2" s="1"/>
  <c r="D22" i="4"/>
  <c r="F22" i="4" s="1"/>
  <c r="F17" i="4" l="1"/>
  <c r="F18" i="4"/>
  <c r="F19" i="4"/>
  <c r="F11" i="2"/>
  <c r="F27" i="2"/>
  <c r="F24" i="2"/>
  <c r="F16" i="1"/>
  <c r="F28" i="2" l="1"/>
  <c r="F25" i="2"/>
  <c r="F23" i="2"/>
  <c r="F18" i="2"/>
  <c r="F17" i="2"/>
  <c r="F16" i="2"/>
  <c r="F15" i="2"/>
  <c r="F14" i="2"/>
  <c r="F12" i="2"/>
  <c r="F10" i="2"/>
  <c r="F9" i="4"/>
  <c r="F10" i="4"/>
  <c r="F11" i="4"/>
  <c r="F12" i="4"/>
  <c r="F8" i="4"/>
  <c r="F6" i="4"/>
  <c r="F15" i="4"/>
  <c r="F14" i="4"/>
  <c r="F13" i="4"/>
  <c r="F28" i="3"/>
  <c r="F27" i="3"/>
  <c r="F26" i="3"/>
  <c r="F25" i="3"/>
  <c r="F23" i="3"/>
  <c r="F22" i="3"/>
  <c r="F20" i="3"/>
  <c r="F19" i="3"/>
  <c r="F18" i="3"/>
  <c r="F17" i="3"/>
  <c r="F16" i="3"/>
  <c r="F15" i="3"/>
  <c r="F13" i="3"/>
  <c r="F12" i="3"/>
  <c r="F11" i="3"/>
  <c r="F10" i="3"/>
  <c r="F9" i="3"/>
  <c r="F8" i="3"/>
  <c r="F6" i="3"/>
  <c r="F31" i="2"/>
  <c r="F21" i="2"/>
  <c r="F20" i="2"/>
  <c r="F19" i="2"/>
  <c r="F7" i="2"/>
  <c r="F6" i="2"/>
  <c r="F39" i="1"/>
  <c r="F37" i="1"/>
  <c r="F35" i="1"/>
  <c r="F33" i="1"/>
  <c r="F28" i="1"/>
  <c r="F27" i="1"/>
  <c r="F26" i="1"/>
  <c r="F25" i="1"/>
  <c r="F24" i="1"/>
  <c r="F23" i="1"/>
  <c r="F22" i="1"/>
  <c r="F21" i="1"/>
  <c r="F20" i="1"/>
  <c r="F18" i="1"/>
  <c r="F17" i="1"/>
  <c r="F15" i="1"/>
  <c r="F14" i="1"/>
  <c r="F13" i="1"/>
  <c r="F12" i="1"/>
  <c r="F9" i="1"/>
  <c r="F7" i="1"/>
  <c r="F6" i="1"/>
  <c r="D45" i="1" l="1"/>
  <c r="E47" i="1" s="1"/>
  <c r="D35" i="3"/>
  <c r="E37" i="3" s="1"/>
  <c r="E39" i="3" s="1"/>
  <c r="D25" i="4"/>
  <c r="E27" i="4" s="1"/>
  <c r="D36" i="2"/>
  <c r="E38" i="2" s="1"/>
  <c r="E52" i="1" l="1"/>
  <c r="F52" i="1" s="1"/>
  <c r="E42" i="3"/>
  <c r="F42" i="3" s="1"/>
  <c r="E32" i="4"/>
  <c r="F32" i="4" s="1"/>
  <c r="E29" i="4"/>
  <c r="E43" i="2"/>
  <c r="F43" i="2" s="1"/>
  <c r="E40" i="2"/>
  <c r="E49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<sst xmlns="http://schemas.openxmlformats.org/spreadsheetml/2006/main" count="199" uniqueCount="104">
  <si>
    <t>Guida al mt</t>
  </si>
  <si>
    <t>Sedile Smart Perch</t>
  </si>
  <si>
    <t>Bracciolo corto</t>
  </si>
  <si>
    <t>Distanziale per bracciolo singolo (+56mm)</t>
  </si>
  <si>
    <t>Distranziale per entrambi i braccioli (+102mm)</t>
  </si>
  <si>
    <t>Seggiolino fisso (standard per Smart Perch)</t>
  </si>
  <si>
    <t>Cintura in Velcro</t>
  </si>
  <si>
    <t>Cintura in Velcro XXL</t>
  </si>
  <si>
    <t>Body harness</t>
  </si>
  <si>
    <t>Curva aggiuntiva a 90°</t>
  </si>
  <si>
    <t>Overrun</t>
  </si>
  <si>
    <t>Dropnose</t>
  </si>
  <si>
    <t>Guida ribaltabile motorizzata</t>
  </si>
  <si>
    <t xml:space="preserve">Heavy duty kit 160 kg </t>
  </si>
  <si>
    <t>Punti di ricarica aggiuntivi</t>
  </si>
  <si>
    <t>Attacchi a muro aggiuntivi</t>
  </si>
  <si>
    <t>Tappeti</t>
  </si>
  <si>
    <t>Guida per esterni per mt (supplemento)</t>
  </si>
  <si>
    <t>Versione per esterni</t>
  </si>
  <si>
    <t>Solo guida/supplemento rework</t>
  </si>
  <si>
    <t>Rotazione del seggiolino automatica</t>
  </si>
  <si>
    <t>Radiocomando aggiuntivo</t>
  </si>
  <si>
    <t>Elegance seat</t>
  </si>
  <si>
    <t>Alliance seat</t>
  </si>
  <si>
    <t>Active seat (solo Elegance/Alliance)</t>
  </si>
  <si>
    <t>Body harness 4-punti</t>
  </si>
  <si>
    <t>Rotazione automatica del sedile (2 direzioni)</t>
  </si>
  <si>
    <t>Poggiapiedi illuminato e motorizzato</t>
  </si>
  <si>
    <t>Kit Ripetitore</t>
  </si>
  <si>
    <t>Radiocomando aggiuntivo per ripetitore</t>
  </si>
  <si>
    <t>Guida tagliata a misura</t>
  </si>
  <si>
    <t>Guida ribaltabile manuale</t>
  </si>
  <si>
    <t>Heavy Duty XL</t>
  </si>
  <si>
    <t>Extra Heavy Duty XXL</t>
  </si>
  <si>
    <t>Rotazione del seggiolino automatica 2-direzioni, include la base estesa del sedile</t>
  </si>
  <si>
    <t>Motorizzato completo 2-direzioni (sedile e pedanina)</t>
  </si>
  <si>
    <t>Estensione guida di 2.35 mt</t>
  </si>
  <si>
    <t>Guida scorrevole 4.7 m - costo aggiuntivo</t>
  </si>
  <si>
    <t>Guida scorrevole 7.05 m - costo aggiuntivo</t>
  </si>
  <si>
    <t>Kit zero intrusion 4.7 m</t>
  </si>
  <si>
    <t>Kit zero intrusion 7.05 m</t>
  </si>
  <si>
    <t>PREZZO BASE</t>
  </si>
  <si>
    <t>OPZIONI SEDUTA</t>
  </si>
  <si>
    <t>OPZIONI GUIDA</t>
  </si>
  <si>
    <t>OPZIONI MOTORIZZATE</t>
  </si>
  <si>
    <t>OPZIONI SPECIALI</t>
  </si>
  <si>
    <t>Unità standard – incluso sedile Classic, carrello, sedile, 1 curva 90°, cintura di sicurezza retrattile</t>
  </si>
  <si>
    <t>Colore speciale guida (solo numeri RAL)</t>
  </si>
  <si>
    <t>Unità standard – incluso sedile SIMPLICITY , carrello, sedile, 1 curva 90°, cintura di sicurezza retrattile</t>
  </si>
  <si>
    <t>Unità standard – incluso carrello, sedile, guida 5 m, fitting kit, cintura di sicurezza retrattile</t>
  </si>
  <si>
    <t>OPZIONI HEAVY DUTY</t>
  </si>
  <si>
    <t>Unità standard – incluso carrello, sedile, guida 4.7 m, fitting kit, cintura di sicurezza retrattile</t>
  </si>
  <si>
    <t xml:space="preserve">Sedile SMART (versione esterna) </t>
  </si>
  <si>
    <t>N° OFFERTA</t>
  </si>
  <si>
    <t>FACILE GRAZIOSA</t>
  </si>
  <si>
    <t>FACILE ELEGANCE</t>
  </si>
  <si>
    <t>FACILE SPRINT</t>
  </si>
  <si>
    <t>Sedile Style</t>
  </si>
  <si>
    <t>PREZZO DI LISTINO</t>
  </si>
  <si>
    <t>Poggiapiedi motorizzato</t>
  </si>
  <si>
    <t>Motorizzato completo (sedile e pedanina)</t>
  </si>
  <si>
    <t>Numero</t>
  </si>
  <si>
    <t>Metri</t>
  </si>
  <si>
    <t>Smontaggio e smaltimento impianto preesistente</t>
  </si>
  <si>
    <t>Pacchetto Valore</t>
  </si>
  <si>
    <t>Colore binario marrone</t>
  </si>
  <si>
    <t>Colore binario nero</t>
  </si>
  <si>
    <t>Fissaggio a muro</t>
  </si>
  <si>
    <t>Coprigambe</t>
  </si>
  <si>
    <t>N° Telecomandi</t>
  </si>
  <si>
    <t>Arrivo orizzontale</t>
  </si>
  <si>
    <t>Partenza Drop</t>
  </si>
  <si>
    <t>N° Curve speciali</t>
  </si>
  <si>
    <t>N° Curve a 180° aggiuntive</t>
  </si>
  <si>
    <t>N° Curve a 90° aggiuntive</t>
  </si>
  <si>
    <t>N° metri aggiuntivi HD (oltre i 5m)</t>
  </si>
  <si>
    <t>N° metri aggiuntivi (oltre i 5m)</t>
  </si>
  <si>
    <t>OPTIONAL PER BINARIO</t>
  </si>
  <si>
    <t>Dual-Control Kit</t>
  </si>
  <si>
    <t>Seduta regolabile (estensione 100mm)</t>
  </si>
  <si>
    <t>Sedile girevole motorizzato</t>
  </si>
  <si>
    <t>OPTIONAL PER SEDUTA</t>
  </si>
  <si>
    <t>Binario HD 5m + 1 curva 90°</t>
  </si>
  <si>
    <t>Motore HD (girevole manuale)</t>
  </si>
  <si>
    <t>Motore, Seduta, binario da 5 m incl. 1 curva a 90°, 2 punti di ricarica e kit di montaggio</t>
  </si>
  <si>
    <t>Curva (5m + 1 curva 90°)</t>
  </si>
  <si>
    <t>Seduta (a scelta tra beige, blu, marrone, grigio o rosso)</t>
  </si>
  <si>
    <t>Motore (girevole manuale)</t>
  </si>
  <si>
    <t>OPZIONE STANDARD (fino a 125kg)</t>
  </si>
  <si>
    <t>INFINITY CURVED</t>
  </si>
  <si>
    <t>OPZIONE HEAVY DUTY (da 125kg)</t>
  </si>
  <si>
    <t>Punti di ricarica</t>
  </si>
  <si>
    <t>Fermate intermedie</t>
  </si>
  <si>
    <t>FACILE SUPERIOR / ROBUSTA</t>
  </si>
  <si>
    <t>Batteria Extra Power 12 Ah (oltre 15 metri)</t>
  </si>
  <si>
    <t>Batteria Ultra Power 20 Ah al litio (oltre 20 metri)</t>
  </si>
  <si>
    <t>One Touch Alert (sim card non inclusa)</t>
  </si>
  <si>
    <r>
      <t xml:space="preserve">Montaggio </t>
    </r>
    <r>
      <rPr>
        <b/>
        <sz val="12"/>
        <color rgb="FFFF0000"/>
        <rFont val="Calibri"/>
        <family val="2"/>
        <scheme val="minor"/>
      </rPr>
      <t>incluso</t>
    </r>
  </si>
  <si>
    <r>
      <t xml:space="preserve">Trasporto </t>
    </r>
    <r>
      <rPr>
        <b/>
        <sz val="12"/>
        <color rgb="FFFF0000"/>
        <rFont val="Calibri"/>
        <family val="2"/>
        <scheme val="minor"/>
      </rPr>
      <t>incluso</t>
    </r>
  </si>
  <si>
    <t>PREZZO RISERVATO</t>
  </si>
  <si>
    <t>SCONTO</t>
  </si>
  <si>
    <t>Conversion Kit</t>
  </si>
  <si>
    <t>Fermata intermedia</t>
  </si>
  <si>
    <t>Piastre per attacco a muro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</si>
</sst>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-2]\ * #,##0.00_-;\-[$€-2]\ * #,##0.00_-;_-[$€-2]\ * &quot;-&quot;??_-;_-@_-"/>
    <numFmt numFmtId="165" formatCode="_([$€-2]\ * #,##0.00_);_([$€-2]\ * \(#,##0.00\);_([$€-2]\ * &quot;-&quot;??_);_(@_)"/>
    <numFmt numFmtId="166" formatCode="#,##0.00\ &quot;€&quot;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6"/>
      <color theme="0"/>
      <name val="Amasis MT Pro Medium"/>
      <family val="1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8"/>
      <color theme="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16"/>
      <color rgb="FFFF0000"/>
      <name val="Arial"/>
      <family val="2"/>
    </font>
    <font>
      <b/>
      <sz val="1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8" fillId="0" borderId="0"/>
  </cellStyleXfs>
  <cellXfs count="95">
    <xf numFmtId="0" fontId="0" fillId="0" borderId="0" xfId="0"/>
    <xf numFmtId="0" fontId="7" fillId="3" borderId="1" xfId="2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9" fontId="17" fillId="3" borderId="1" xfId="0" applyNumberFormat="1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7" fillId="3" borderId="1" xfId="2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6" borderId="5" xfId="0" applyFill="1" applyBorder="1" applyAlignment="1">
      <alignment vertical="center"/>
    </xf>
    <xf numFmtId="0" fontId="19" fillId="6" borderId="0" xfId="2" applyFont="1" applyFill="1" applyAlignment="1">
      <alignment horizontal="right" indent="1"/>
    </xf>
    <xf numFmtId="0" fontId="0" fillId="6" borderId="0" xfId="0" applyFill="1" applyAlignment="1">
      <alignment horizontal="right" indent="1"/>
    </xf>
    <xf numFmtId="0" fontId="18" fillId="6" borderId="0" xfId="2" applyFill="1" applyAlignment="1">
      <alignment horizontal="center"/>
    </xf>
    <xf numFmtId="0" fontId="0" fillId="6" borderId="0" xfId="0" applyFill="1"/>
    <xf numFmtId="0" fontId="0" fillId="6" borderId="14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6" borderId="0" xfId="0" applyFill="1" applyAlignment="1">
      <alignment vertical="center"/>
    </xf>
    <xf numFmtId="0" fontId="14" fillId="4" borderId="3" xfId="0" applyFont="1" applyFill="1" applyBorder="1" applyAlignment="1">
      <alignment vertical="center"/>
    </xf>
    <xf numFmtId="166" fontId="21" fillId="4" borderId="3" xfId="0" applyNumberFormat="1" applyFont="1" applyFill="1" applyBorder="1" applyAlignment="1">
      <alignment horizontal="center" vertical="center"/>
    </xf>
    <xf numFmtId="165" fontId="14" fillId="6" borderId="0" xfId="0" applyNumberFormat="1" applyFont="1" applyFill="1" applyAlignment="1">
      <alignment vertical="center"/>
    </xf>
    <xf numFmtId="0" fontId="0" fillId="6" borderId="5" xfId="0" applyFill="1" applyBorder="1"/>
    <xf numFmtId="0" fontId="3" fillId="6" borderId="0" xfId="0" applyFont="1" applyFill="1"/>
    <xf numFmtId="0" fontId="0" fillId="6" borderId="14" xfId="0" applyFill="1" applyBorder="1"/>
    <xf numFmtId="0" fontId="0" fillId="6" borderId="13" xfId="0" applyFill="1" applyBorder="1"/>
    <xf numFmtId="0" fontId="3" fillId="6" borderId="9" xfId="0" applyFont="1" applyFill="1" applyBorder="1"/>
    <xf numFmtId="0" fontId="0" fillId="6" borderId="9" xfId="0" applyFill="1" applyBorder="1"/>
    <xf numFmtId="0" fontId="0" fillId="6" borderId="7" xfId="0" applyFill="1" applyBorder="1"/>
    <xf numFmtId="0" fontId="3" fillId="0" borderId="0" xfId="0" applyFont="1"/>
    <xf numFmtId="0" fontId="0" fillId="6" borderId="0" xfId="0" applyFill="1" applyAlignment="1">
      <alignment horizontal="center" vertical="center"/>
    </xf>
    <xf numFmtId="0" fontId="10" fillId="2" borderId="2" xfId="0" applyFont="1" applyFill="1" applyBorder="1" applyAlignment="1">
      <alignment vertical="center" wrapText="1"/>
    </xf>
    <xf numFmtId="166" fontId="20" fillId="2" borderId="3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right" vertical="center" indent="1"/>
    </xf>
    <xf numFmtId="166" fontId="11" fillId="6" borderId="0" xfId="0" applyNumberFormat="1" applyFont="1" applyFill="1" applyAlignment="1">
      <alignment horizontal="right" vertical="center" indent="1"/>
    </xf>
    <xf numFmtId="166" fontId="11" fillId="6" borderId="0" xfId="0" applyNumberFormat="1" applyFont="1" applyFill="1" applyAlignment="1">
      <alignment horizontal="center" vertical="center"/>
    </xf>
    <xf numFmtId="166" fontId="12" fillId="8" borderId="3" xfId="0" applyNumberFormat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7" fillId="5" borderId="4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7" fillId="5" borderId="3" xfId="0" applyFont="1" applyFill="1" applyBorder="1" applyAlignment="1">
      <alignment horizontal="right" vertical="center" indent="1"/>
    </xf>
    <xf numFmtId="0" fontId="0" fillId="7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indent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2" fillId="6" borderId="0" xfId="0" applyFont="1" applyFill="1"/>
    <xf numFmtId="0" fontId="6" fillId="6" borderId="0" xfId="0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9" fontId="4" fillId="7" borderId="2" xfId="1" applyFont="1" applyFill="1" applyBorder="1" applyAlignment="1" applyProtection="1">
      <alignment horizontal="center" vertical="center"/>
    </xf>
    <xf numFmtId="0" fontId="0" fillId="9" borderId="8" xfId="0" applyFill="1" applyBorder="1"/>
    <xf numFmtId="0" fontId="9" fillId="9" borderId="7" xfId="0" applyFont="1" applyFill="1" applyBorder="1"/>
    <xf numFmtId="0" fontId="0" fillId="6" borderId="12" xfId="0" applyFill="1" applyBorder="1"/>
    <xf numFmtId="0" fontId="0" fillId="6" borderId="6" xfId="0" applyFill="1" applyBorder="1"/>
    <xf numFmtId="0" fontId="0" fillId="6" borderId="8" xfId="0" applyFill="1" applyBorder="1"/>
    <xf numFmtId="0" fontId="7" fillId="5" borderId="1" xfId="0" applyFont="1" applyFill="1" applyBorder="1" applyAlignment="1">
      <alignment horizontal="center" vertical="center"/>
    </xf>
    <xf numFmtId="166" fontId="23" fillId="6" borderId="0" xfId="0" applyNumberFormat="1" applyFont="1" applyFill="1" applyAlignment="1">
      <alignment vertical="center"/>
    </xf>
    <xf numFmtId="166" fontId="22" fillId="6" borderId="14" xfId="2" applyNumberFormat="1" applyFont="1" applyFill="1" applyBorder="1" applyAlignment="1">
      <alignment horizontal="left" vertical="center"/>
    </xf>
    <xf numFmtId="0" fontId="10" fillId="2" borderId="2" xfId="0" applyFont="1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6" borderId="15" xfId="0" applyFill="1" applyBorder="1" applyAlignment="1">
      <alignment vertical="center"/>
    </xf>
    <xf numFmtId="0" fontId="7" fillId="5" borderId="0" xfId="0" applyFont="1" applyFill="1" applyAlignment="1">
      <alignment vertical="center"/>
    </xf>
    <xf numFmtId="164" fontId="0" fillId="0" borderId="3" xfId="0" applyNumberFormat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164" fontId="0" fillId="7" borderId="2" xfId="0" applyNumberFormat="1" applyFill="1" applyBorder="1" applyAlignment="1">
      <alignment vertical="center"/>
    </xf>
    <xf numFmtId="0" fontId="0" fillId="6" borderId="15" xfId="0" applyFill="1" applyBorder="1"/>
    <xf numFmtId="0" fontId="4" fillId="7" borderId="4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0" fillId="0" borderId="5" xfId="0" applyBorder="1"/>
    <xf numFmtId="166" fontId="11" fillId="6" borderId="0" xfId="0" applyNumberFormat="1" applyFont="1" applyFill="1" applyAlignment="1">
      <alignment horizontal="left" vertical="center" indent="2"/>
    </xf>
    <xf numFmtId="0" fontId="7" fillId="5" borderId="2" xfId="0" applyFont="1" applyFill="1" applyBorder="1" applyAlignment="1">
      <alignment horizontal="right" vertical="center" indent="1"/>
    </xf>
    <xf numFmtId="0" fontId="10" fillId="2" borderId="4" xfId="0" applyFont="1" applyFill="1" applyBorder="1" applyAlignment="1">
      <alignment horizontal="left" vertical="center" indent="1"/>
    </xf>
    <xf numFmtId="0" fontId="16" fillId="8" borderId="4" xfId="0" applyFont="1" applyFill="1" applyBorder="1" applyAlignment="1">
      <alignment horizontal="left" vertical="center" indent="1"/>
    </xf>
    <xf numFmtId="0" fontId="18" fillId="6" borderId="0" xfId="2" applyFill="1" applyAlignment="1">
      <alignment horizontal="left"/>
    </xf>
    <xf numFmtId="0" fontId="12" fillId="4" borderId="4" xfId="0" applyFont="1" applyFill="1" applyBorder="1" applyAlignment="1">
      <alignment horizontal="left" vertical="center" indent="1"/>
    </xf>
    <xf numFmtId="166" fontId="12" fillId="6" borderId="0" xfId="0" applyNumberFormat="1" applyFont="1" applyFill="1"/>
    <xf numFmtId="166" fontId="16" fillId="6" borderId="0" xfId="0" applyNumberFormat="1" applyFont="1" applyFill="1" applyAlignment="1">
      <alignment vertical="top"/>
    </xf>
    <xf numFmtId="9" fontId="0" fillId="0" borderId="2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5" borderId="4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</cellXfs>
  <cellStyles count="3">
    <cellStyle name="Normale" xfId="0" builtinId="0"/>
    <cellStyle name="Normale 2" xfId="2" xr:uid="{9FD76486-8D7A-40F4-9013-6159DE43C15F}"/>
    <cellStyle name="Percentuale" xfId="1" builtinId="5"/>
  </cellStyles>
  <dxfs count="0"/>
  <tableStyles count="0" defaultTableStyle="TableStyleMedium2" defaultPivotStyle="PivotStyleLight16"/>
  <colors>
    <mruColors>
      <color rgb="FF0026C6"/>
      <color rgb="FFFFCD2D"/>
      <color rgb="FFFF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1A3C-7557-4747-8A73-E81201B3DA10}">
  <dimension ref="A1:G61"/>
  <sheetViews>
    <sheetView tabSelected="1" zoomScaleNormal="100" workbookViewId="0">
      <selection activeCell="E3" sqref="E3"/>
    </sheetView>
  </sheetViews>
  <sheetFormatPr defaultColWidth="11" defaultRowHeight="15.6" x14ac:dyDescent="0.3"/>
  <cols>
    <col min="1" max="1" width="14.69921875" customWidth="1"/>
    <col min="2" max="2" width="67.796875" customWidth="1"/>
    <col min="3" max="3" width="30.69921875" customWidth="1"/>
    <col min="4" max="4" width="10.59765625" hidden="1" customWidth="1"/>
    <col min="5" max="5" width="25.19921875" customWidth="1"/>
    <col min="6" max="6" width="20.296875" customWidth="1"/>
    <col min="7" max="7" width="14.69921875" customWidth="1"/>
    <col min="8" max="8" width="72.59765625" customWidth="1"/>
  </cols>
  <sheetData>
    <row r="1" spans="1:7" ht="11.4" customHeight="1" x14ac:dyDescent="0.3">
      <c r="A1" s="57"/>
      <c r="B1" s="58"/>
      <c r="C1" s="58"/>
      <c r="D1" s="58"/>
      <c r="E1" s="58"/>
      <c r="F1" s="58"/>
      <c r="G1" s="59"/>
    </row>
    <row r="2" spans="1:7" ht="14.4" customHeight="1" x14ac:dyDescent="0.3">
      <c r="A2" s="18"/>
      <c r="B2" s="92" t="s">
        <v>56</v>
      </c>
      <c r="C2" s="93"/>
      <c r="D2" s="55"/>
      <c r="E2" s="60" t="s">
        <v>53</v>
      </c>
      <c r="F2" s="89" t="e" vm="1">
        <v>#VALUE!</v>
      </c>
      <c r="G2" s="20"/>
    </row>
    <row r="3" spans="1:7" ht="45" customHeight="1" x14ac:dyDescent="0.45">
      <c r="A3" s="18"/>
      <c r="B3" s="92"/>
      <c r="C3" s="93"/>
      <c r="D3" s="56"/>
      <c r="E3" s="2"/>
      <c r="F3" s="89"/>
      <c r="G3" s="20"/>
    </row>
    <row r="4" spans="1:7" ht="11.4" customHeight="1" x14ac:dyDescent="0.45">
      <c r="A4" s="18"/>
      <c r="B4" s="50"/>
      <c r="C4" s="50"/>
      <c r="D4" s="51"/>
      <c r="E4" s="52"/>
      <c r="F4" s="53"/>
      <c r="G4" s="20"/>
    </row>
    <row r="5" spans="1:7" ht="19.8" customHeight="1" x14ac:dyDescent="0.3">
      <c r="A5" s="7"/>
      <c r="B5" s="44" t="s">
        <v>41</v>
      </c>
      <c r="C5" s="45"/>
      <c r="D5" s="54"/>
      <c r="E5" s="45"/>
      <c r="F5" s="46"/>
      <c r="G5" s="12"/>
    </row>
    <row r="6" spans="1:7" ht="19.8" customHeight="1" x14ac:dyDescent="0.3">
      <c r="A6" s="7"/>
      <c r="B6" s="90" t="s">
        <v>51</v>
      </c>
      <c r="C6" s="91"/>
      <c r="D6" s="36">
        <v>4508</v>
      </c>
      <c r="E6" s="5">
        <v>1</v>
      </c>
      <c r="F6" s="38">
        <f>E6*D6</f>
        <v>4508</v>
      </c>
      <c r="G6" s="12"/>
    </row>
    <row r="7" spans="1:7" ht="19.8" customHeight="1" x14ac:dyDescent="0.3">
      <c r="A7" s="7"/>
      <c r="B7" s="44" t="s">
        <v>43</v>
      </c>
      <c r="C7" s="45"/>
      <c r="D7" s="45"/>
      <c r="E7" s="45"/>
      <c r="F7" s="46"/>
      <c r="G7" s="12"/>
    </row>
    <row r="8" spans="1:7" ht="19.8" customHeight="1" x14ac:dyDescent="0.3">
      <c r="A8" s="7"/>
      <c r="B8" s="34" t="s">
        <v>36</v>
      </c>
      <c r="C8" s="37"/>
      <c r="D8" s="36">
        <v>429.8</v>
      </c>
      <c r="E8" s="1"/>
      <c r="F8" s="38">
        <f t="shared" ref="F8:F10" si="0">E8*D8</f>
        <v>0</v>
      </c>
      <c r="G8" s="12"/>
    </row>
    <row r="9" spans="1:7" ht="19.8" customHeight="1" x14ac:dyDescent="0.3">
      <c r="A9" s="7"/>
      <c r="B9" s="34" t="s">
        <v>30</v>
      </c>
      <c r="C9" s="37"/>
      <c r="D9" s="36">
        <v>100.80000000000001</v>
      </c>
      <c r="E9" s="1"/>
      <c r="F9" s="38">
        <f t="shared" si="0"/>
        <v>0</v>
      </c>
      <c r="G9" s="12"/>
    </row>
    <row r="10" spans="1:7" ht="19.8" customHeight="1" x14ac:dyDescent="0.3">
      <c r="A10" s="7"/>
      <c r="B10" s="34" t="s">
        <v>31</v>
      </c>
      <c r="C10" s="37"/>
      <c r="D10" s="36">
        <v>553</v>
      </c>
      <c r="E10" s="1"/>
      <c r="F10" s="38">
        <f t="shared" si="0"/>
        <v>0</v>
      </c>
      <c r="G10" s="12"/>
    </row>
    <row r="11" spans="1:7" ht="19.8" customHeight="1" x14ac:dyDescent="0.3">
      <c r="A11" s="7"/>
      <c r="B11" s="34" t="s">
        <v>16</v>
      </c>
      <c r="C11" s="37"/>
      <c r="D11" s="36">
        <v>82.6</v>
      </c>
      <c r="E11" s="1"/>
      <c r="F11" s="38">
        <f>E11*D11</f>
        <v>0</v>
      </c>
      <c r="G11" s="12"/>
    </row>
    <row r="12" spans="1:7" ht="19.8" customHeight="1" x14ac:dyDescent="0.3">
      <c r="A12" s="7"/>
      <c r="B12" s="34" t="s">
        <v>37</v>
      </c>
      <c r="C12" s="37"/>
      <c r="D12" s="36">
        <v>1349.6</v>
      </c>
      <c r="E12" s="1"/>
      <c r="F12" s="38">
        <f>E12*D12</f>
        <v>0</v>
      </c>
      <c r="G12" s="12"/>
    </row>
    <row r="13" spans="1:7" ht="19.8" customHeight="1" x14ac:dyDescent="0.3">
      <c r="A13" s="7"/>
      <c r="B13" s="34" t="s">
        <v>38</v>
      </c>
      <c r="C13" s="37"/>
      <c r="D13" s="36">
        <v>1776.6</v>
      </c>
      <c r="E13" s="1"/>
      <c r="F13" s="38">
        <f>E13*D13</f>
        <v>0</v>
      </c>
      <c r="G13" s="12"/>
    </row>
    <row r="14" spans="1:7" ht="19.8" customHeight="1" x14ac:dyDescent="0.3">
      <c r="A14" s="7"/>
      <c r="B14" s="34" t="s">
        <v>39</v>
      </c>
      <c r="C14" s="37"/>
      <c r="D14" s="36">
        <v>288.39999999999998</v>
      </c>
      <c r="E14" s="1"/>
      <c r="F14" s="38">
        <f>E14*D14</f>
        <v>0</v>
      </c>
      <c r="G14" s="12"/>
    </row>
    <row r="15" spans="1:7" ht="19.8" customHeight="1" x14ac:dyDescent="0.3">
      <c r="A15" s="7"/>
      <c r="B15" s="34" t="s">
        <v>40</v>
      </c>
      <c r="C15" s="37"/>
      <c r="D15" s="36">
        <v>373.8</v>
      </c>
      <c r="E15" s="1"/>
      <c r="F15" s="38">
        <f>E15*D15</f>
        <v>0</v>
      </c>
      <c r="G15" s="12"/>
    </row>
    <row r="16" spans="1:7" ht="19.8" customHeight="1" x14ac:dyDescent="0.3">
      <c r="A16" s="7"/>
      <c r="B16" s="44" t="s">
        <v>44</v>
      </c>
      <c r="C16" s="45"/>
      <c r="D16" s="45"/>
      <c r="E16" s="45"/>
      <c r="F16" s="46"/>
      <c r="G16" s="12"/>
    </row>
    <row r="17" spans="1:7" ht="19.8" customHeight="1" x14ac:dyDescent="0.3">
      <c r="A17" s="7"/>
      <c r="B17" s="34" t="s">
        <v>20</v>
      </c>
      <c r="C17" s="37"/>
      <c r="D17" s="36">
        <v>1054.2</v>
      </c>
      <c r="E17" s="1"/>
      <c r="F17" s="38">
        <f t="shared" ref="F17" si="1">E17*D17</f>
        <v>0</v>
      </c>
      <c r="G17" s="12"/>
    </row>
    <row r="18" spans="1:7" ht="19.8" customHeight="1" x14ac:dyDescent="0.3">
      <c r="A18" s="7"/>
      <c r="B18" s="34" t="s">
        <v>59</v>
      </c>
      <c r="C18" s="37"/>
      <c r="D18" s="36">
        <v>1036</v>
      </c>
      <c r="E18" s="1"/>
      <c r="F18" s="38">
        <f t="shared" ref="F18:F20" si="2">E18*D18</f>
        <v>0</v>
      </c>
      <c r="G18" s="12"/>
    </row>
    <row r="19" spans="1:7" ht="19.8" customHeight="1" x14ac:dyDescent="0.3">
      <c r="A19" s="7"/>
      <c r="B19" s="34" t="s">
        <v>60</v>
      </c>
      <c r="C19" s="37"/>
      <c r="D19" s="36">
        <v>1573.6</v>
      </c>
      <c r="E19" s="1"/>
      <c r="F19" s="38">
        <f t="shared" si="2"/>
        <v>0</v>
      </c>
      <c r="G19" s="12"/>
    </row>
    <row r="20" spans="1:7" ht="19.8" customHeight="1" x14ac:dyDescent="0.3">
      <c r="A20" s="7"/>
      <c r="B20" s="34" t="s">
        <v>96</v>
      </c>
      <c r="C20" s="35"/>
      <c r="D20" s="36">
        <v>603.20000000000005</v>
      </c>
      <c r="E20" s="1"/>
      <c r="F20" s="38">
        <f t="shared" si="2"/>
        <v>0</v>
      </c>
      <c r="G20" s="12"/>
    </row>
    <row r="21" spans="1:7" ht="19.8" customHeight="1" x14ac:dyDescent="0.3">
      <c r="A21" s="7"/>
      <c r="B21" s="40"/>
      <c r="C21" s="41"/>
      <c r="D21" s="41"/>
      <c r="E21" s="42"/>
      <c r="F21" s="43"/>
      <c r="G21" s="12"/>
    </row>
    <row r="22" spans="1:7" ht="19.8" customHeight="1" x14ac:dyDescent="0.3">
      <c r="A22" s="7"/>
      <c r="B22" s="34" t="s">
        <v>63</v>
      </c>
      <c r="C22" s="39"/>
      <c r="D22" s="36">
        <f>300</f>
        <v>300</v>
      </c>
      <c r="E22" s="1"/>
      <c r="F22" s="38">
        <f>D22*E22</f>
        <v>0</v>
      </c>
      <c r="G22" s="12"/>
    </row>
    <row r="23" spans="1:7" ht="19.8" customHeight="1" x14ac:dyDescent="0.3">
      <c r="A23" s="7"/>
      <c r="B23" s="34" t="s">
        <v>97</v>
      </c>
      <c r="C23" s="37"/>
      <c r="D23" s="36">
        <v>500</v>
      </c>
      <c r="E23" s="5">
        <v>1</v>
      </c>
      <c r="F23" s="38">
        <v>0</v>
      </c>
      <c r="G23" s="12"/>
    </row>
    <row r="24" spans="1:7" ht="19.8" customHeight="1" x14ac:dyDescent="0.3">
      <c r="A24" s="7"/>
      <c r="B24" s="34" t="s">
        <v>98</v>
      </c>
      <c r="C24" s="37"/>
      <c r="D24" s="36">
        <v>125</v>
      </c>
      <c r="E24" s="5">
        <v>1</v>
      </c>
      <c r="F24" s="38">
        <v>0</v>
      </c>
      <c r="G24" s="12"/>
    </row>
    <row r="25" spans="1:7" ht="19.8" customHeight="1" x14ac:dyDescent="0.3">
      <c r="A25" s="7"/>
      <c r="B25" s="34" t="s">
        <v>64</v>
      </c>
      <c r="C25" s="37"/>
      <c r="D25" s="36">
        <f>E25*0.1*(SUM(F6:F22)+D23+D24)</f>
        <v>0</v>
      </c>
      <c r="E25" s="1"/>
      <c r="F25" s="38">
        <v>0</v>
      </c>
      <c r="G25" s="12"/>
    </row>
    <row r="26" spans="1:7" ht="19.8" customHeight="1" x14ac:dyDescent="0.3">
      <c r="A26" s="7"/>
      <c r="B26" s="14"/>
      <c r="C26" s="14"/>
      <c r="D26" s="14"/>
      <c r="E26" s="26"/>
      <c r="F26" s="26"/>
      <c r="G26" s="12"/>
    </row>
    <row r="27" spans="1:7" ht="27.6" customHeight="1" x14ac:dyDescent="0.3">
      <c r="A27" s="7"/>
      <c r="B27" s="11"/>
      <c r="C27" s="80" t="s">
        <v>58</v>
      </c>
      <c r="D27" s="63"/>
      <c r="E27" s="28">
        <f>SUM(F6:F22)+D23+D24+D25</f>
        <v>5133</v>
      </c>
      <c r="F27" s="26"/>
      <c r="G27" s="12"/>
    </row>
    <row r="28" spans="1:7" ht="5.4" customHeight="1" x14ac:dyDescent="0.3">
      <c r="A28" s="7"/>
      <c r="B28" s="29"/>
      <c r="C28" s="78"/>
      <c r="D28" s="30"/>
      <c r="E28" s="31"/>
      <c r="F28" s="26"/>
      <c r="G28" s="12"/>
    </row>
    <row r="29" spans="1:7" ht="20.399999999999999" customHeight="1" x14ac:dyDescent="0.4">
      <c r="A29" s="7"/>
      <c r="B29" s="11"/>
      <c r="C29" s="81" t="s">
        <v>100</v>
      </c>
      <c r="D29" s="86">
        <v>0.3</v>
      </c>
      <c r="E29" s="32">
        <f>-(E27*E30)</f>
        <v>0</v>
      </c>
      <c r="F29" s="84" t="str">
        <f>IF(E30&gt;30%,"ATTENZIONE!","")</f>
        <v/>
      </c>
      <c r="G29" s="12"/>
    </row>
    <row r="30" spans="1:7" ht="28.8" customHeight="1" x14ac:dyDescent="0.3">
      <c r="A30" s="7"/>
      <c r="B30" s="8"/>
      <c r="C30" s="82"/>
      <c r="D30" s="9"/>
      <c r="E30" s="3">
        <v>0</v>
      </c>
      <c r="F30" s="85" t="str">
        <f>IF(E30&gt;30%,"SUPERATO LO SCONTO MASSIMO","")</f>
        <v/>
      </c>
      <c r="G30" s="12"/>
    </row>
    <row r="31" spans="1:7" ht="19.8" customHeight="1" x14ac:dyDescent="0.3">
      <c r="A31" s="7"/>
      <c r="B31" s="8"/>
      <c r="C31" s="82"/>
      <c r="D31" s="9"/>
      <c r="E31" s="10"/>
      <c r="F31" s="11"/>
      <c r="G31" s="12"/>
    </row>
    <row r="32" spans="1:7" ht="39" customHeight="1" x14ac:dyDescent="0.3">
      <c r="A32" s="7"/>
      <c r="B32" s="11"/>
      <c r="C32" s="83" t="s">
        <v>99</v>
      </c>
      <c r="D32" s="15"/>
      <c r="E32" s="16">
        <f>E27*(1-E30)</f>
        <v>5133</v>
      </c>
      <c r="F32" s="61" t="str">
        <f>"+ IVA 4% = "&amp;E32*1.04</f>
        <v>+ IVA 4% = 5338,32</v>
      </c>
      <c r="G32" s="62"/>
    </row>
    <row r="33" spans="1:7" ht="19.8" customHeight="1" x14ac:dyDescent="0.3">
      <c r="A33" s="18"/>
      <c r="B33" s="19"/>
      <c r="C33" s="19"/>
      <c r="D33" s="11"/>
      <c r="E33" s="11"/>
      <c r="F33" s="11"/>
      <c r="G33" s="20"/>
    </row>
    <row r="34" spans="1:7" ht="19.8" customHeight="1" x14ac:dyDescent="0.3">
      <c r="A34" s="21"/>
      <c r="B34" s="22"/>
      <c r="C34" s="22"/>
      <c r="D34" s="23"/>
      <c r="E34" s="23"/>
      <c r="F34" s="23"/>
      <c r="G34" s="24"/>
    </row>
    <row r="35" spans="1:7" ht="19.8" customHeight="1" x14ac:dyDescent="0.3"/>
    <row r="36" spans="1:7" ht="19.8" customHeight="1" x14ac:dyDescent="0.3"/>
    <row r="37" spans="1:7" ht="19.8" customHeight="1" x14ac:dyDescent="0.3"/>
    <row r="38" spans="1:7" ht="19.8" customHeight="1" x14ac:dyDescent="0.3"/>
    <row r="39" spans="1:7" ht="19.8" customHeight="1" x14ac:dyDescent="0.3"/>
    <row r="40" spans="1:7" ht="19.8" customHeight="1" x14ac:dyDescent="0.3"/>
    <row r="41" spans="1:7" ht="19.8" customHeight="1" x14ac:dyDescent="0.3"/>
    <row r="42" spans="1:7" ht="19.8" customHeight="1" x14ac:dyDescent="0.3"/>
    <row r="43" spans="1:7" ht="19.8" customHeight="1" x14ac:dyDescent="0.3"/>
    <row r="44" spans="1:7" ht="19.8" customHeight="1" x14ac:dyDescent="0.3"/>
    <row r="45" spans="1:7" ht="19.8" customHeight="1" x14ac:dyDescent="0.3"/>
    <row r="46" spans="1:7" ht="19.8" customHeight="1" x14ac:dyDescent="0.3"/>
    <row r="47" spans="1:7" ht="19.8" customHeight="1" x14ac:dyDescent="0.3"/>
    <row r="48" spans="1:7" ht="19.8" customHeight="1" x14ac:dyDescent="0.3"/>
    <row r="49" spans="5:6" ht="19.8" customHeight="1" x14ac:dyDescent="0.3">
      <c r="E49" s="87"/>
      <c r="F49" s="88"/>
    </row>
    <row r="50" spans="5:6" ht="19.8" customHeight="1" x14ac:dyDescent="0.3"/>
    <row r="51" spans="5:6" ht="19.8" customHeight="1" x14ac:dyDescent="0.3"/>
    <row r="52" spans="5:6" ht="19.8" customHeight="1" x14ac:dyDescent="0.3"/>
    <row r="53" spans="5:6" ht="19.8" customHeight="1" x14ac:dyDescent="0.3"/>
    <row r="54" spans="5:6" ht="19.8" customHeight="1" x14ac:dyDescent="0.3"/>
    <row r="55" spans="5:6" ht="19.8" customHeight="1" x14ac:dyDescent="0.3"/>
    <row r="56" spans="5:6" ht="19.8" customHeight="1" x14ac:dyDescent="0.3"/>
    <row r="57" spans="5:6" ht="19.8" customHeight="1" x14ac:dyDescent="0.3"/>
    <row r="58" spans="5:6" ht="19.8" customHeight="1" x14ac:dyDescent="0.3"/>
    <row r="59" spans="5:6" ht="19.8" customHeight="1" x14ac:dyDescent="0.3"/>
    <row r="60" spans="5:6" ht="19.8" customHeight="1" x14ac:dyDescent="0.3"/>
    <row r="61" spans="5:6" ht="19.8" customHeight="1" x14ac:dyDescent="0.3"/>
  </sheetData>
  <sheetProtection algorithmName="SHA-512" hashValue="NupY8krmCxZCiRv4mBObm99V3NrdRUNU4BO1GgAhVpk06b77jDswD9T/e0Es7U4jDx5vhrHkYVTEACWbEw/2tA==" saltValue="33wZ9fk9MIR9G0yACPOdYg==" spinCount="100000" sheet="1" selectLockedCells="1"/>
  <mergeCells count="4">
    <mergeCell ref="E49:F49"/>
    <mergeCell ref="F2:F3"/>
    <mergeCell ref="B6:C6"/>
    <mergeCell ref="B2:C3"/>
  </mergeCells>
  <dataValidations count="2">
    <dataValidation type="list" allowBlank="1" showInputMessage="1" showErrorMessage="1" sqref="E6 E8:E15 E17:E20 E22:E25" xr:uid="{84D580AF-5784-4E19-A4CB-6DEFA5120A39}">
      <formula1>"0,1"</formula1>
    </dataValidation>
    <dataValidation type="custom" operator="lessThanOrEqual" allowBlank="1" showInputMessage="1" showErrorMessage="1" sqref="E30" xr:uid="{1CDA44C6-D545-460A-9E48-80C13BECCFAC}">
      <formula1>E30&lt;=D29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8E45-9936-B746-9E1C-6643EB2D9B8F}">
  <dimension ref="A1:G61"/>
  <sheetViews>
    <sheetView zoomScaleNormal="100" workbookViewId="0">
      <selection activeCell="E3" sqref="E3"/>
    </sheetView>
  </sheetViews>
  <sheetFormatPr defaultColWidth="11" defaultRowHeight="15.6" x14ac:dyDescent="0.3"/>
  <cols>
    <col min="1" max="1" width="14.69921875" customWidth="1"/>
    <col min="2" max="2" width="67.796875" customWidth="1"/>
    <col min="3" max="3" width="30.69921875" customWidth="1"/>
    <col min="4" max="4" width="10.59765625" hidden="1" customWidth="1"/>
    <col min="5" max="5" width="25.19921875" customWidth="1"/>
    <col min="6" max="6" width="20.296875" customWidth="1"/>
    <col min="7" max="7" width="14.69921875" customWidth="1"/>
    <col min="8" max="8" width="72.59765625" customWidth="1"/>
  </cols>
  <sheetData>
    <row r="1" spans="1:7" ht="11.4" customHeight="1" x14ac:dyDescent="0.3">
      <c r="A1" s="57"/>
      <c r="B1" s="58"/>
      <c r="C1" s="58"/>
      <c r="D1" s="58"/>
      <c r="E1" s="58"/>
      <c r="F1" s="58"/>
      <c r="G1" s="59"/>
    </row>
    <row r="2" spans="1:7" ht="14.4" customHeight="1" x14ac:dyDescent="0.3">
      <c r="A2" s="18"/>
      <c r="B2" s="92" t="s">
        <v>55</v>
      </c>
      <c r="C2" s="93"/>
      <c r="D2" s="55"/>
      <c r="E2" s="60" t="s">
        <v>53</v>
      </c>
      <c r="F2" s="89" t="e" vm="1">
        <v>#VALUE!</v>
      </c>
      <c r="G2" s="20"/>
    </row>
    <row r="3" spans="1:7" ht="45" customHeight="1" x14ac:dyDescent="0.45">
      <c r="A3" s="18"/>
      <c r="B3" s="92"/>
      <c r="C3" s="93"/>
      <c r="D3" s="56"/>
      <c r="E3" s="2"/>
      <c r="F3" s="89"/>
      <c r="G3" s="20"/>
    </row>
    <row r="4" spans="1:7" ht="11.4" customHeight="1" x14ac:dyDescent="0.45">
      <c r="A4" s="18"/>
      <c r="B4" s="50"/>
      <c r="C4" s="50"/>
      <c r="D4" s="51"/>
      <c r="E4" s="52"/>
      <c r="F4" s="53"/>
      <c r="G4" s="20"/>
    </row>
    <row r="5" spans="1:7" ht="19.8" customHeight="1" x14ac:dyDescent="0.3">
      <c r="A5" s="7"/>
      <c r="B5" s="44" t="s">
        <v>41</v>
      </c>
      <c r="C5" s="45"/>
      <c r="D5" s="54"/>
      <c r="E5" s="45"/>
      <c r="F5" s="46"/>
      <c r="G5" s="12"/>
    </row>
    <row r="6" spans="1:7" ht="19.8" customHeight="1" x14ac:dyDescent="0.3">
      <c r="A6" s="7"/>
      <c r="B6" s="90" t="s">
        <v>49</v>
      </c>
      <c r="C6" s="91"/>
      <c r="D6" s="36">
        <v>5150</v>
      </c>
      <c r="E6" s="5">
        <v>1</v>
      </c>
      <c r="F6" s="38">
        <f>E6*D6</f>
        <v>5150</v>
      </c>
      <c r="G6" s="12"/>
    </row>
    <row r="7" spans="1:7" ht="19.8" customHeight="1" x14ac:dyDescent="0.3">
      <c r="A7" s="7"/>
      <c r="B7" s="44" t="s">
        <v>43</v>
      </c>
      <c r="C7" s="45"/>
      <c r="D7" s="45"/>
      <c r="E7" s="45"/>
      <c r="F7" s="46"/>
      <c r="G7" s="12"/>
    </row>
    <row r="8" spans="1:7" ht="19.8" customHeight="1" x14ac:dyDescent="0.3">
      <c r="A8" s="7"/>
      <c r="B8" s="34" t="s">
        <v>36</v>
      </c>
      <c r="C8" s="37"/>
      <c r="D8" s="36">
        <v>335.4</v>
      </c>
      <c r="E8" s="1"/>
      <c r="F8" s="38">
        <f t="shared" ref="F8:F10" si="0">E8*D8</f>
        <v>0</v>
      </c>
      <c r="G8" s="12"/>
    </row>
    <row r="9" spans="1:7" ht="19.8" customHeight="1" x14ac:dyDescent="0.3">
      <c r="A9" s="7"/>
      <c r="B9" s="34" t="s">
        <v>30</v>
      </c>
      <c r="C9" s="37"/>
      <c r="D9" s="36">
        <v>97.5</v>
      </c>
      <c r="E9" s="1"/>
      <c r="F9" s="38">
        <f t="shared" si="0"/>
        <v>0</v>
      </c>
      <c r="G9" s="12"/>
    </row>
    <row r="10" spans="1:7" ht="19.8" customHeight="1" x14ac:dyDescent="0.3">
      <c r="A10" s="7"/>
      <c r="B10" s="34" t="s">
        <v>31</v>
      </c>
      <c r="C10" s="37"/>
      <c r="D10" s="36">
        <v>770.90000000000009</v>
      </c>
      <c r="E10" s="1"/>
      <c r="F10" s="38">
        <f t="shared" si="0"/>
        <v>0</v>
      </c>
      <c r="G10" s="12"/>
    </row>
    <row r="11" spans="1:7" ht="19.8" customHeight="1" x14ac:dyDescent="0.3">
      <c r="A11" s="7"/>
      <c r="B11" s="34" t="s">
        <v>16</v>
      </c>
      <c r="C11" s="37"/>
      <c r="D11" s="36">
        <v>54.6</v>
      </c>
      <c r="E11" s="1"/>
      <c r="F11" s="38">
        <f>E11*D11</f>
        <v>0</v>
      </c>
      <c r="G11" s="12"/>
    </row>
    <row r="12" spans="1:7" ht="19.8" customHeight="1" x14ac:dyDescent="0.3">
      <c r="A12" s="7"/>
      <c r="B12" s="34" t="s">
        <v>12</v>
      </c>
      <c r="C12" s="37"/>
      <c r="D12" s="36">
        <v>1110.2</v>
      </c>
      <c r="E12" s="1"/>
      <c r="F12" s="38">
        <f>E12*D12</f>
        <v>0</v>
      </c>
      <c r="G12" s="12"/>
    </row>
    <row r="13" spans="1:7" ht="19.8" customHeight="1" x14ac:dyDescent="0.3">
      <c r="A13" s="7"/>
      <c r="B13" s="34" t="s">
        <v>18</v>
      </c>
      <c r="C13" s="37"/>
      <c r="D13" s="36">
        <v>579.79999999999995</v>
      </c>
      <c r="E13" s="1"/>
      <c r="F13" s="38">
        <f>E13*D13</f>
        <v>0</v>
      </c>
      <c r="G13" s="12"/>
    </row>
    <row r="14" spans="1:7" ht="19.8" customHeight="1" x14ac:dyDescent="0.3">
      <c r="A14" s="7"/>
      <c r="B14" s="44" t="s">
        <v>42</v>
      </c>
      <c r="C14" s="45"/>
      <c r="D14" s="45"/>
      <c r="E14" s="45"/>
      <c r="F14" s="46"/>
      <c r="G14" s="12"/>
    </row>
    <row r="15" spans="1:7" ht="19.8" customHeight="1" x14ac:dyDescent="0.3">
      <c r="A15" s="7"/>
      <c r="B15" s="34" t="s">
        <v>1</v>
      </c>
      <c r="C15" s="37"/>
      <c r="D15" s="36">
        <v>232.7</v>
      </c>
      <c r="E15" s="1"/>
      <c r="F15" s="38">
        <f t="shared" ref="F15:F23" si="1">E15*D15</f>
        <v>0</v>
      </c>
      <c r="G15" s="12"/>
    </row>
    <row r="16" spans="1:7" ht="19.8" customHeight="1" x14ac:dyDescent="0.3">
      <c r="A16" s="7"/>
      <c r="B16" s="34" t="s">
        <v>3</v>
      </c>
      <c r="C16" s="37"/>
      <c r="D16" s="36">
        <v>104</v>
      </c>
      <c r="E16" s="1"/>
      <c r="F16" s="38">
        <f t="shared" si="1"/>
        <v>0</v>
      </c>
      <c r="G16" s="12"/>
    </row>
    <row r="17" spans="1:7" ht="19.8" customHeight="1" x14ac:dyDescent="0.3">
      <c r="A17" s="7"/>
      <c r="B17" s="34" t="s">
        <v>4</v>
      </c>
      <c r="C17" s="37"/>
      <c r="D17" s="36">
        <v>157.30000000000001</v>
      </c>
      <c r="E17" s="1"/>
      <c r="F17" s="38">
        <f t="shared" si="1"/>
        <v>0</v>
      </c>
      <c r="G17" s="12"/>
    </row>
    <row r="18" spans="1:7" ht="19.8" customHeight="1" x14ac:dyDescent="0.3">
      <c r="A18" s="7"/>
      <c r="B18" s="34" t="s">
        <v>6</v>
      </c>
      <c r="C18" s="37"/>
      <c r="D18" s="36">
        <v>0</v>
      </c>
      <c r="E18" s="1"/>
      <c r="F18" s="38">
        <f t="shared" si="1"/>
        <v>0</v>
      </c>
      <c r="G18" s="12"/>
    </row>
    <row r="19" spans="1:7" ht="19.8" customHeight="1" x14ac:dyDescent="0.3">
      <c r="A19" s="7"/>
      <c r="B19" s="34" t="s">
        <v>7</v>
      </c>
      <c r="C19" s="37"/>
      <c r="D19" s="36">
        <v>124.80000000000001</v>
      </c>
      <c r="E19" s="1"/>
      <c r="F19" s="38">
        <f t="shared" si="1"/>
        <v>0</v>
      </c>
      <c r="G19" s="12"/>
    </row>
    <row r="20" spans="1:7" ht="19.8" customHeight="1" x14ac:dyDescent="0.3">
      <c r="A20" s="7"/>
      <c r="B20" s="34" t="s">
        <v>8</v>
      </c>
      <c r="C20" s="37"/>
      <c r="D20" s="36">
        <v>596.70000000000005</v>
      </c>
      <c r="E20" s="1"/>
      <c r="F20" s="38">
        <f t="shared" si="1"/>
        <v>0</v>
      </c>
      <c r="G20" s="12"/>
    </row>
    <row r="21" spans="1:7" ht="19.8" customHeight="1" x14ac:dyDescent="0.3">
      <c r="A21" s="7"/>
      <c r="B21" s="44" t="s">
        <v>50</v>
      </c>
      <c r="C21" s="45"/>
      <c r="D21" s="45"/>
      <c r="E21" s="45"/>
      <c r="F21" s="46"/>
      <c r="G21" s="12"/>
    </row>
    <row r="22" spans="1:7" ht="19.8" customHeight="1" x14ac:dyDescent="0.3">
      <c r="A22" s="7"/>
      <c r="B22" s="34" t="s">
        <v>32</v>
      </c>
      <c r="C22" s="37"/>
      <c r="D22" s="36">
        <v>380.9</v>
      </c>
      <c r="E22" s="1"/>
      <c r="F22" s="38">
        <f t="shared" si="1"/>
        <v>0</v>
      </c>
      <c r="G22" s="12"/>
    </row>
    <row r="23" spans="1:7" ht="19.8" customHeight="1" x14ac:dyDescent="0.3">
      <c r="A23" s="7"/>
      <c r="B23" s="34" t="s">
        <v>33</v>
      </c>
      <c r="C23" s="37"/>
      <c r="D23" s="36">
        <v>1648.4</v>
      </c>
      <c r="E23" s="1"/>
      <c r="F23" s="38">
        <f t="shared" si="1"/>
        <v>0</v>
      </c>
      <c r="G23" s="12"/>
    </row>
    <row r="24" spans="1:7" ht="19.8" customHeight="1" x14ac:dyDescent="0.3">
      <c r="A24" s="7"/>
      <c r="B24" s="44" t="s">
        <v>44</v>
      </c>
      <c r="C24" s="45"/>
      <c r="D24" s="45"/>
      <c r="E24" s="45"/>
      <c r="F24" s="46"/>
      <c r="G24" s="12"/>
    </row>
    <row r="25" spans="1:7" ht="19.8" customHeight="1" x14ac:dyDescent="0.3">
      <c r="A25" s="7"/>
      <c r="B25" s="34" t="s">
        <v>20</v>
      </c>
      <c r="C25" s="37"/>
      <c r="D25" s="36">
        <v>512.20000000000005</v>
      </c>
      <c r="E25" s="1"/>
      <c r="F25" s="38">
        <f>E25*D25</f>
        <v>0</v>
      </c>
      <c r="G25" s="12"/>
    </row>
    <row r="26" spans="1:7" ht="19.8" customHeight="1" x14ac:dyDescent="0.3">
      <c r="A26" s="7"/>
      <c r="B26" s="34" t="s">
        <v>34</v>
      </c>
      <c r="C26" s="37"/>
      <c r="D26" s="36">
        <v>683.8</v>
      </c>
      <c r="E26" s="1"/>
      <c r="F26" s="38">
        <f>E26*D26</f>
        <v>0</v>
      </c>
      <c r="G26" s="12"/>
    </row>
    <row r="27" spans="1:7" ht="19.8" customHeight="1" x14ac:dyDescent="0.3">
      <c r="A27" s="67"/>
      <c r="B27" s="34" t="s">
        <v>59</v>
      </c>
      <c r="C27" s="37"/>
      <c r="D27" s="36">
        <v>495.3</v>
      </c>
      <c r="E27" s="1"/>
      <c r="F27" s="38">
        <f t="shared" ref="F27:F29" si="2">E27*D27</f>
        <v>0</v>
      </c>
      <c r="G27" s="12"/>
    </row>
    <row r="28" spans="1:7" ht="19.8" customHeight="1" x14ac:dyDescent="0.3">
      <c r="A28" s="7"/>
      <c r="B28" s="34" t="s">
        <v>60</v>
      </c>
      <c r="C28" s="37"/>
      <c r="D28" s="36">
        <v>1006.2</v>
      </c>
      <c r="E28" s="1"/>
      <c r="F28" s="38">
        <f t="shared" si="2"/>
        <v>0</v>
      </c>
      <c r="G28" s="12"/>
    </row>
    <row r="29" spans="1:7" ht="19.8" customHeight="1" x14ac:dyDescent="0.3">
      <c r="A29" s="7"/>
      <c r="B29" s="34" t="s">
        <v>35</v>
      </c>
      <c r="C29" s="37"/>
      <c r="D29" s="36">
        <v>1177.8000000000002</v>
      </c>
      <c r="E29" s="1"/>
      <c r="F29" s="38">
        <f t="shared" si="2"/>
        <v>0</v>
      </c>
      <c r="G29" s="12"/>
    </row>
    <row r="30" spans="1:7" ht="19.8" customHeight="1" x14ac:dyDescent="0.3">
      <c r="A30" s="7"/>
      <c r="B30" s="34" t="s">
        <v>96</v>
      </c>
      <c r="C30" s="68"/>
      <c r="D30" s="36">
        <v>603.20000000000005</v>
      </c>
      <c r="E30" s="1"/>
      <c r="F30" s="38">
        <f>E30*D30</f>
        <v>0</v>
      </c>
      <c r="G30" s="12"/>
    </row>
    <row r="31" spans="1:7" ht="19.8" customHeight="1" x14ac:dyDescent="0.3">
      <c r="A31" s="7"/>
      <c r="B31" s="64"/>
      <c r="C31" s="65"/>
      <c r="D31" s="65"/>
      <c r="E31" s="66"/>
      <c r="F31" s="66"/>
      <c r="G31" s="12"/>
    </row>
    <row r="32" spans="1:7" ht="19.8" customHeight="1" x14ac:dyDescent="0.3">
      <c r="A32" s="7"/>
      <c r="B32" s="34" t="s">
        <v>63</v>
      </c>
      <c r="C32" s="39"/>
      <c r="D32" s="36">
        <v>300</v>
      </c>
      <c r="E32" s="1"/>
      <c r="F32" s="38">
        <f>D32*E32</f>
        <v>0</v>
      </c>
      <c r="G32" s="12"/>
    </row>
    <row r="33" spans="1:7" ht="19.8" customHeight="1" x14ac:dyDescent="0.3">
      <c r="A33" s="7"/>
      <c r="B33" s="34" t="s">
        <v>97</v>
      </c>
      <c r="C33" s="37"/>
      <c r="D33" s="36">
        <v>500</v>
      </c>
      <c r="E33" s="5">
        <v>1</v>
      </c>
      <c r="F33" s="38">
        <v>0</v>
      </c>
      <c r="G33" s="12"/>
    </row>
    <row r="34" spans="1:7" ht="19.8" customHeight="1" x14ac:dyDescent="0.3">
      <c r="A34" s="7"/>
      <c r="B34" s="34" t="s">
        <v>98</v>
      </c>
      <c r="C34" s="37"/>
      <c r="D34" s="36">
        <v>125</v>
      </c>
      <c r="E34" s="6">
        <v>1</v>
      </c>
      <c r="F34" s="38">
        <v>0</v>
      </c>
      <c r="G34" s="12"/>
    </row>
    <row r="35" spans="1:7" ht="19.8" customHeight="1" x14ac:dyDescent="0.3">
      <c r="A35" s="7"/>
      <c r="B35" s="34" t="s">
        <v>64</v>
      </c>
      <c r="C35" s="35"/>
      <c r="D35" s="36">
        <f>E35*0.1*(SUM(F6:F32)+D34+D33)</f>
        <v>0</v>
      </c>
      <c r="E35" s="4"/>
      <c r="F35" s="33">
        <v>0</v>
      </c>
      <c r="G35" s="12"/>
    </row>
    <row r="36" spans="1:7" ht="19.8" customHeight="1" x14ac:dyDescent="0.3">
      <c r="A36" s="7"/>
      <c r="B36" s="14"/>
      <c r="C36" s="14"/>
      <c r="D36" s="14"/>
      <c r="E36" s="26"/>
      <c r="F36" s="26"/>
      <c r="G36" s="12"/>
    </row>
    <row r="37" spans="1:7" ht="27.6" customHeight="1" x14ac:dyDescent="0.3">
      <c r="A37" s="7"/>
      <c r="B37" s="11"/>
      <c r="C37" s="80" t="s">
        <v>58</v>
      </c>
      <c r="D37" s="63"/>
      <c r="E37" s="28">
        <f>SUM(F6:F32)+D33+D34+D35</f>
        <v>5775</v>
      </c>
      <c r="F37" s="26"/>
      <c r="G37" s="12"/>
    </row>
    <row r="38" spans="1:7" ht="5.4" customHeight="1" x14ac:dyDescent="0.3">
      <c r="A38" s="7"/>
      <c r="B38" s="29"/>
      <c r="C38" s="78"/>
      <c r="D38" s="30"/>
      <c r="E38" s="31"/>
      <c r="F38" s="26"/>
      <c r="G38" s="12"/>
    </row>
    <row r="39" spans="1:7" ht="20.399999999999999" customHeight="1" x14ac:dyDescent="0.4">
      <c r="A39" s="7"/>
      <c r="B39" s="11"/>
      <c r="C39" s="81" t="s">
        <v>100</v>
      </c>
      <c r="D39" s="86">
        <v>0.3</v>
      </c>
      <c r="E39" s="32">
        <f>-(E37*E40)</f>
        <v>0</v>
      </c>
      <c r="F39" s="84" t="str">
        <f>IF(E40&gt;30%,"ATTENZIONE!","")</f>
        <v/>
      </c>
      <c r="G39" s="12"/>
    </row>
    <row r="40" spans="1:7" ht="28.2" customHeight="1" x14ac:dyDescent="0.3">
      <c r="A40" s="7"/>
      <c r="B40" s="8"/>
      <c r="C40" s="82"/>
      <c r="D40" s="9"/>
      <c r="E40" s="3">
        <v>0</v>
      </c>
      <c r="F40" s="85" t="str">
        <f>IF(E40&gt;30%,"SUPERATO LO SCONTO MASSIMO","")</f>
        <v/>
      </c>
      <c r="G40" s="12"/>
    </row>
    <row r="41" spans="1:7" ht="19.8" customHeight="1" x14ac:dyDescent="0.3">
      <c r="A41" s="7"/>
      <c r="B41" s="8"/>
      <c r="C41" s="82"/>
      <c r="D41" s="9"/>
      <c r="E41" s="10"/>
      <c r="F41" s="11"/>
      <c r="G41" s="12"/>
    </row>
    <row r="42" spans="1:7" ht="39" customHeight="1" x14ac:dyDescent="0.3">
      <c r="A42" s="7"/>
      <c r="B42" s="11"/>
      <c r="C42" s="83" t="s">
        <v>99</v>
      </c>
      <c r="D42" s="15"/>
      <c r="E42" s="16">
        <f>E37*(1-E40)</f>
        <v>5775</v>
      </c>
      <c r="F42" s="17" t="str">
        <f>"+ IVA 4% = "&amp;E42*1.04</f>
        <v>+ IVA 4% = 6006</v>
      </c>
      <c r="G42" s="12"/>
    </row>
    <row r="43" spans="1:7" ht="19.8" customHeight="1" x14ac:dyDescent="0.3">
      <c r="A43" s="18"/>
      <c r="B43" s="19"/>
      <c r="C43" s="19"/>
      <c r="D43" s="11"/>
      <c r="E43" s="11"/>
      <c r="F43" s="11"/>
      <c r="G43" s="20"/>
    </row>
    <row r="44" spans="1:7" ht="19.8" customHeight="1" x14ac:dyDescent="0.3">
      <c r="A44" s="21"/>
      <c r="B44" s="22"/>
      <c r="C44" s="22"/>
      <c r="D44" s="23"/>
      <c r="E44" s="23"/>
      <c r="F44" s="23"/>
      <c r="G44" s="24"/>
    </row>
    <row r="45" spans="1:7" ht="19.8" customHeight="1" x14ac:dyDescent="0.3"/>
    <row r="46" spans="1:7" ht="19.8" customHeight="1" x14ac:dyDescent="0.3"/>
    <row r="47" spans="1:7" ht="19.8" customHeight="1" x14ac:dyDescent="0.3"/>
    <row r="48" spans="1:7" ht="19.8" customHeight="1" x14ac:dyDescent="0.3"/>
    <row r="49" ht="19.8" customHeight="1" x14ac:dyDescent="0.3"/>
    <row r="50" ht="19.8" customHeight="1" x14ac:dyDescent="0.3"/>
    <row r="51" ht="19.8" customHeight="1" x14ac:dyDescent="0.3"/>
    <row r="52" ht="19.8" customHeight="1" x14ac:dyDescent="0.3"/>
    <row r="53" ht="19.8" customHeight="1" x14ac:dyDescent="0.3"/>
    <row r="54" ht="19.8" customHeight="1" x14ac:dyDescent="0.3"/>
    <row r="55" ht="19.8" customHeight="1" x14ac:dyDescent="0.3"/>
    <row r="56" ht="19.8" customHeight="1" x14ac:dyDescent="0.3"/>
    <row r="57" ht="19.8" customHeight="1" x14ac:dyDescent="0.3"/>
    <row r="58" ht="19.8" customHeight="1" x14ac:dyDescent="0.3"/>
    <row r="59" ht="19.8" customHeight="1" x14ac:dyDescent="0.3"/>
    <row r="60" ht="19.8" customHeight="1" x14ac:dyDescent="0.3"/>
    <row r="61" ht="19.8" customHeight="1" x14ac:dyDescent="0.3"/>
  </sheetData>
  <sheetProtection algorithmName="SHA-512" hashValue="ydIqg00egMwVQ+iKGf1xvMFkuwshIaWg3M5I+wUEh3Qsk7AmUqP9YruWUnGJySdoK3H/FiNd4haf9JNHClnQQQ==" saltValue="hTMMB/o+9MX+3BjV2Bk79A==" spinCount="100000" sheet="1" selectLockedCells="1"/>
  <mergeCells count="3">
    <mergeCell ref="F2:F3"/>
    <mergeCell ref="B6:C6"/>
    <mergeCell ref="B2:C3"/>
  </mergeCells>
  <dataValidations count="2">
    <dataValidation type="list" allowBlank="1" showInputMessage="1" showErrorMessage="1" sqref="E6 E8:E13 E15:E20 E22:E23 E32:E33 E25:E30" xr:uid="{5CBFEA08-912D-411D-95B7-862B44ED92AE}">
      <formula1>"0,1"</formula1>
    </dataValidation>
    <dataValidation type="custom" operator="lessThanOrEqual" allowBlank="1" showInputMessage="1" showErrorMessage="1" sqref="E40" xr:uid="{CFCAEA96-C76A-47ED-943D-04DE70657BF4}">
      <formula1>E40&lt;=D39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D30B-E050-C24D-91E0-6BED417F9E6E}">
  <dimension ref="A1:H64"/>
  <sheetViews>
    <sheetView zoomScaleNormal="100" workbookViewId="0">
      <selection activeCell="E3" sqref="E3"/>
    </sheetView>
  </sheetViews>
  <sheetFormatPr defaultColWidth="11" defaultRowHeight="15.6" x14ac:dyDescent="0.3"/>
  <cols>
    <col min="1" max="1" width="14.69921875" customWidth="1"/>
    <col min="2" max="2" width="67.796875" customWidth="1"/>
    <col min="3" max="3" width="30.69921875" customWidth="1"/>
    <col min="4" max="4" width="10.59765625" hidden="1" customWidth="1"/>
    <col min="5" max="5" width="25.19921875" customWidth="1"/>
    <col min="6" max="6" width="20.296875" customWidth="1"/>
    <col min="7" max="7" width="14.69921875" customWidth="1"/>
    <col min="8" max="8" width="68.69921875" customWidth="1"/>
  </cols>
  <sheetData>
    <row r="1" spans="1:8" ht="11.4" customHeight="1" x14ac:dyDescent="0.3">
      <c r="A1" s="57"/>
      <c r="B1" s="58"/>
      <c r="C1" s="58"/>
      <c r="D1" s="58"/>
      <c r="E1" s="58"/>
      <c r="F1" s="58"/>
      <c r="G1" s="59"/>
    </row>
    <row r="2" spans="1:8" ht="14.4" customHeight="1" x14ac:dyDescent="0.3">
      <c r="A2" s="18"/>
      <c r="B2" s="92" t="s">
        <v>93</v>
      </c>
      <c r="C2" s="93"/>
      <c r="D2" s="55"/>
      <c r="E2" s="60" t="s">
        <v>53</v>
      </c>
      <c r="F2" s="89" t="e" vm="1">
        <v>#VALUE!</v>
      </c>
      <c r="G2" s="20"/>
    </row>
    <row r="3" spans="1:8" ht="45" customHeight="1" x14ac:dyDescent="0.45">
      <c r="A3" s="18"/>
      <c r="B3" s="92"/>
      <c r="C3" s="93"/>
      <c r="D3" s="56"/>
      <c r="E3" s="2"/>
      <c r="F3" s="89"/>
      <c r="G3" s="20"/>
    </row>
    <row r="4" spans="1:8" ht="11.4" customHeight="1" x14ac:dyDescent="0.45">
      <c r="A4" s="18"/>
      <c r="B4" s="50"/>
      <c r="C4" s="50"/>
      <c r="D4" s="51"/>
      <c r="E4" s="52"/>
      <c r="F4" s="53"/>
      <c r="G4" s="20"/>
    </row>
    <row r="5" spans="1:8" ht="19.8" customHeight="1" x14ac:dyDescent="0.3">
      <c r="A5" s="18"/>
      <c r="B5" s="44" t="s">
        <v>41</v>
      </c>
      <c r="C5" s="45"/>
      <c r="D5" s="54"/>
      <c r="E5" s="45"/>
      <c r="F5" s="46"/>
      <c r="G5" s="20"/>
      <c r="H5" s="77"/>
    </row>
    <row r="6" spans="1:8" ht="19.8" customHeight="1" x14ac:dyDescent="0.3">
      <c r="A6" s="18"/>
      <c r="B6" s="90" t="s">
        <v>48</v>
      </c>
      <c r="C6" s="91"/>
      <c r="D6" s="36">
        <v>5985.2000000000007</v>
      </c>
      <c r="E6" s="5">
        <v>1</v>
      </c>
      <c r="F6" s="36">
        <f>E6*D6</f>
        <v>5985.2000000000007</v>
      </c>
      <c r="G6" s="20"/>
    </row>
    <row r="7" spans="1:8" ht="19.8" customHeight="1" x14ac:dyDescent="0.3">
      <c r="A7" s="18"/>
      <c r="B7" s="34" t="s">
        <v>0</v>
      </c>
      <c r="C7" s="39" t="s">
        <v>62</v>
      </c>
      <c r="D7" s="36">
        <v>308.75</v>
      </c>
      <c r="E7" s="4"/>
      <c r="F7" s="36">
        <f>E7*D7</f>
        <v>0</v>
      </c>
      <c r="G7" s="20"/>
    </row>
    <row r="8" spans="1:8" ht="19.8" customHeight="1" x14ac:dyDescent="0.3">
      <c r="A8" s="18"/>
      <c r="B8" s="44" t="s">
        <v>42</v>
      </c>
      <c r="C8" s="45"/>
      <c r="D8" s="75"/>
      <c r="E8" s="45"/>
      <c r="F8" s="76"/>
      <c r="G8" s="20"/>
    </row>
    <row r="9" spans="1:8" ht="19.8" customHeight="1" x14ac:dyDescent="0.3">
      <c r="A9" s="18"/>
      <c r="B9" s="34" t="s">
        <v>1</v>
      </c>
      <c r="C9" s="37"/>
      <c r="D9" s="36">
        <v>546</v>
      </c>
      <c r="E9" s="1"/>
      <c r="F9" s="36">
        <f>E9*D9</f>
        <v>0</v>
      </c>
      <c r="G9" s="20"/>
    </row>
    <row r="10" spans="1:8" ht="19.8" customHeight="1" x14ac:dyDescent="0.3">
      <c r="A10" s="18"/>
      <c r="B10" s="34" t="s">
        <v>52</v>
      </c>
      <c r="C10" s="37"/>
      <c r="D10" s="36">
        <v>286</v>
      </c>
      <c r="E10" s="1"/>
      <c r="F10" s="36">
        <f t="shared" ref="F10:F11" si="0">E10*D10</f>
        <v>0</v>
      </c>
      <c r="G10" s="20"/>
    </row>
    <row r="11" spans="1:8" ht="19.8" customHeight="1" x14ac:dyDescent="0.3">
      <c r="A11" s="18"/>
      <c r="B11" s="34" t="s">
        <v>57</v>
      </c>
      <c r="C11" s="37"/>
      <c r="D11" s="36">
        <v>286</v>
      </c>
      <c r="E11" s="5">
        <v>1</v>
      </c>
      <c r="F11" s="36">
        <f t="shared" si="0"/>
        <v>286</v>
      </c>
      <c r="G11" s="20"/>
    </row>
    <row r="12" spans="1:8" ht="19.8" customHeight="1" x14ac:dyDescent="0.3">
      <c r="A12" s="18"/>
      <c r="B12" s="34" t="s">
        <v>2</v>
      </c>
      <c r="C12" s="37"/>
      <c r="D12" s="36">
        <v>130</v>
      </c>
      <c r="E12" s="1"/>
      <c r="F12" s="36">
        <f t="shared" ref="F12:F18" si="1">E12*D12</f>
        <v>0</v>
      </c>
      <c r="G12" s="20"/>
    </row>
    <row r="13" spans="1:8" ht="19.8" customHeight="1" x14ac:dyDescent="0.3">
      <c r="A13" s="18"/>
      <c r="B13" s="34" t="s">
        <v>3</v>
      </c>
      <c r="C13" s="37"/>
      <c r="D13" s="36">
        <v>101.4</v>
      </c>
      <c r="E13" s="1"/>
      <c r="F13" s="36">
        <f t="shared" si="1"/>
        <v>0</v>
      </c>
      <c r="G13" s="20"/>
    </row>
    <row r="14" spans="1:8" ht="19.8" customHeight="1" x14ac:dyDescent="0.3">
      <c r="A14" s="18"/>
      <c r="B14" s="34" t="s">
        <v>4</v>
      </c>
      <c r="C14" s="37"/>
      <c r="D14" s="36">
        <v>156</v>
      </c>
      <c r="E14" s="1"/>
      <c r="F14" s="36">
        <f t="shared" si="1"/>
        <v>0</v>
      </c>
      <c r="G14" s="20"/>
    </row>
    <row r="15" spans="1:8" ht="19.8" customHeight="1" x14ac:dyDescent="0.3">
      <c r="A15" s="18"/>
      <c r="B15" s="34" t="s">
        <v>5</v>
      </c>
      <c r="C15" s="37"/>
      <c r="D15" s="36">
        <v>239.20000000000002</v>
      </c>
      <c r="E15" s="1"/>
      <c r="F15" s="36">
        <f t="shared" si="1"/>
        <v>0</v>
      </c>
      <c r="G15" s="20"/>
    </row>
    <row r="16" spans="1:8" ht="19.8" customHeight="1" x14ac:dyDescent="0.3">
      <c r="A16" s="18"/>
      <c r="B16" s="34" t="s">
        <v>6</v>
      </c>
      <c r="C16" s="37"/>
      <c r="D16" s="36">
        <v>0</v>
      </c>
      <c r="E16" s="1"/>
      <c r="F16" s="36">
        <f>E16*D16</f>
        <v>0</v>
      </c>
      <c r="G16" s="20"/>
    </row>
    <row r="17" spans="1:7" ht="19.8" customHeight="1" x14ac:dyDescent="0.3">
      <c r="A17" s="18"/>
      <c r="B17" s="34" t="s">
        <v>7</v>
      </c>
      <c r="C17" s="37"/>
      <c r="D17" s="36">
        <v>123.5</v>
      </c>
      <c r="E17" s="1"/>
      <c r="F17" s="36">
        <f t="shared" si="1"/>
        <v>0</v>
      </c>
      <c r="G17" s="20"/>
    </row>
    <row r="18" spans="1:7" ht="19.8" customHeight="1" x14ac:dyDescent="0.3">
      <c r="A18" s="18"/>
      <c r="B18" s="34" t="s">
        <v>8</v>
      </c>
      <c r="C18" s="37"/>
      <c r="D18" s="36">
        <v>592.79999999999995</v>
      </c>
      <c r="E18" s="1"/>
      <c r="F18" s="36">
        <f t="shared" si="1"/>
        <v>0</v>
      </c>
      <c r="G18" s="20"/>
    </row>
    <row r="19" spans="1:7" ht="19.8" customHeight="1" x14ac:dyDescent="0.3">
      <c r="A19" s="18"/>
      <c r="B19" s="44" t="s">
        <v>43</v>
      </c>
      <c r="C19" s="45"/>
      <c r="D19" s="75"/>
      <c r="E19" s="45"/>
      <c r="F19" s="76"/>
      <c r="G19" s="20"/>
    </row>
    <row r="20" spans="1:7" ht="19.8" customHeight="1" x14ac:dyDescent="0.3">
      <c r="A20" s="18"/>
      <c r="B20" s="34" t="s">
        <v>9</v>
      </c>
      <c r="C20" s="39" t="s">
        <v>61</v>
      </c>
      <c r="D20" s="36">
        <v>673.40000000000009</v>
      </c>
      <c r="E20" s="4"/>
      <c r="F20" s="36">
        <f t="shared" ref="F20:F33" si="2">E20*D20</f>
        <v>0</v>
      </c>
      <c r="G20" s="20"/>
    </row>
    <row r="21" spans="1:7" ht="19.8" customHeight="1" x14ac:dyDescent="0.3">
      <c r="A21" s="18"/>
      <c r="B21" s="34" t="s">
        <v>10</v>
      </c>
      <c r="C21" s="37"/>
      <c r="D21" s="36">
        <v>358.8</v>
      </c>
      <c r="E21" s="1"/>
      <c r="F21" s="36">
        <f t="shared" si="2"/>
        <v>0</v>
      </c>
      <c r="G21" s="20"/>
    </row>
    <row r="22" spans="1:7" ht="19.8" customHeight="1" x14ac:dyDescent="0.3">
      <c r="A22" s="18"/>
      <c r="B22" s="34" t="s">
        <v>11</v>
      </c>
      <c r="C22" s="37"/>
      <c r="D22" s="36">
        <v>371.8</v>
      </c>
      <c r="E22" s="1"/>
      <c r="F22" s="36">
        <f t="shared" si="2"/>
        <v>0</v>
      </c>
      <c r="G22" s="20"/>
    </row>
    <row r="23" spans="1:7" ht="19.8" customHeight="1" x14ac:dyDescent="0.3">
      <c r="A23" s="18"/>
      <c r="B23" s="34" t="s">
        <v>12</v>
      </c>
      <c r="C23" s="37"/>
      <c r="D23" s="36">
        <v>1638</v>
      </c>
      <c r="E23" s="1"/>
      <c r="F23" s="36">
        <f t="shared" si="2"/>
        <v>0</v>
      </c>
      <c r="G23" s="20"/>
    </row>
    <row r="24" spans="1:7" ht="19.8" customHeight="1" x14ac:dyDescent="0.3">
      <c r="A24" s="18"/>
      <c r="B24" s="34" t="s">
        <v>13</v>
      </c>
      <c r="C24" s="37"/>
      <c r="D24" s="36">
        <v>897</v>
      </c>
      <c r="E24" s="1"/>
      <c r="F24" s="36">
        <f t="shared" si="2"/>
        <v>0</v>
      </c>
      <c r="G24" s="20"/>
    </row>
    <row r="25" spans="1:7" ht="19.8" customHeight="1" x14ac:dyDescent="0.3">
      <c r="A25" s="18"/>
      <c r="B25" s="34" t="s">
        <v>14</v>
      </c>
      <c r="C25" s="39" t="s">
        <v>61</v>
      </c>
      <c r="D25" s="36">
        <v>127.4</v>
      </c>
      <c r="E25" s="4"/>
      <c r="F25" s="36">
        <f t="shared" si="2"/>
        <v>0</v>
      </c>
      <c r="G25" s="20"/>
    </row>
    <row r="26" spans="1:7" ht="19.8" customHeight="1" x14ac:dyDescent="0.3">
      <c r="A26" s="18"/>
      <c r="B26" s="34" t="s">
        <v>101</v>
      </c>
      <c r="C26" s="39"/>
      <c r="D26" s="36">
        <v>66.300000000000011</v>
      </c>
      <c r="E26" s="1"/>
      <c r="F26" s="36">
        <f t="shared" si="2"/>
        <v>0</v>
      </c>
      <c r="G26" s="20"/>
    </row>
    <row r="27" spans="1:7" ht="19.8" customHeight="1" x14ac:dyDescent="0.3">
      <c r="A27" s="18"/>
      <c r="B27" s="34" t="s">
        <v>16</v>
      </c>
      <c r="C27" s="37"/>
      <c r="D27" s="36">
        <v>54.6</v>
      </c>
      <c r="E27" s="1"/>
      <c r="F27" s="36">
        <f t="shared" si="2"/>
        <v>0</v>
      </c>
      <c r="G27" s="20"/>
    </row>
    <row r="28" spans="1:7" ht="19.8" customHeight="1" x14ac:dyDescent="0.3">
      <c r="A28" s="18"/>
      <c r="B28" s="47" t="s">
        <v>47</v>
      </c>
      <c r="C28" s="48"/>
      <c r="D28" s="36">
        <v>1150.5</v>
      </c>
      <c r="E28" s="1"/>
      <c r="F28" s="36">
        <f t="shared" si="2"/>
        <v>0</v>
      </c>
      <c r="G28" s="20"/>
    </row>
    <row r="29" spans="1:7" ht="19.8" customHeight="1" x14ac:dyDescent="0.3">
      <c r="A29" s="18"/>
      <c r="B29" s="34" t="s">
        <v>17</v>
      </c>
      <c r="C29" s="39" t="s">
        <v>62</v>
      </c>
      <c r="D29" s="36">
        <v>45.5</v>
      </c>
      <c r="E29" s="4"/>
      <c r="F29" s="36">
        <f t="shared" si="2"/>
        <v>0</v>
      </c>
      <c r="G29" s="20"/>
    </row>
    <row r="30" spans="1:7" ht="19.8" customHeight="1" x14ac:dyDescent="0.3">
      <c r="A30" s="18"/>
      <c r="B30" s="34" t="s">
        <v>18</v>
      </c>
      <c r="C30" s="37"/>
      <c r="D30" s="36">
        <v>1524.9</v>
      </c>
      <c r="E30" s="1"/>
      <c r="F30" s="36">
        <f t="shared" si="2"/>
        <v>0</v>
      </c>
      <c r="G30" s="20"/>
    </row>
    <row r="31" spans="1:7" ht="19.8" customHeight="1" x14ac:dyDescent="0.3">
      <c r="A31" s="18"/>
      <c r="B31" s="34" t="s">
        <v>102</v>
      </c>
      <c r="C31" s="37"/>
      <c r="D31" s="36">
        <v>127.4</v>
      </c>
      <c r="E31" s="1"/>
      <c r="F31" s="36">
        <f t="shared" si="2"/>
        <v>0</v>
      </c>
      <c r="G31" s="20"/>
    </row>
    <row r="32" spans="1:7" ht="19.8" customHeight="1" x14ac:dyDescent="0.3">
      <c r="A32" s="18"/>
      <c r="B32" s="34" t="s">
        <v>103</v>
      </c>
      <c r="C32" s="37"/>
      <c r="D32" s="36">
        <v>80.599999999999994</v>
      </c>
      <c r="E32" s="1"/>
      <c r="F32" s="36">
        <f t="shared" si="2"/>
        <v>0</v>
      </c>
      <c r="G32" s="20"/>
    </row>
    <row r="33" spans="1:7" ht="19.8" customHeight="1" x14ac:dyDescent="0.3">
      <c r="A33" s="18"/>
      <c r="B33" s="34" t="s">
        <v>19</v>
      </c>
      <c r="C33" s="37"/>
      <c r="D33" s="36">
        <v>1319.5</v>
      </c>
      <c r="E33" s="1"/>
      <c r="F33" s="36">
        <f t="shared" si="2"/>
        <v>0</v>
      </c>
      <c r="G33" s="20"/>
    </row>
    <row r="34" spans="1:7" ht="19.8" customHeight="1" x14ac:dyDescent="0.3">
      <c r="A34" s="18"/>
      <c r="B34" s="44" t="s">
        <v>44</v>
      </c>
      <c r="C34" s="45"/>
      <c r="D34" s="75"/>
      <c r="E34" s="45"/>
      <c r="F34" s="76"/>
      <c r="G34" s="20"/>
    </row>
    <row r="35" spans="1:7" ht="19.8" customHeight="1" x14ac:dyDescent="0.3">
      <c r="A35" s="18"/>
      <c r="B35" s="34" t="s">
        <v>20</v>
      </c>
      <c r="C35" s="37"/>
      <c r="D35" s="36">
        <v>496.6</v>
      </c>
      <c r="E35" s="1"/>
      <c r="F35" s="36">
        <f t="shared" ref="F35:F36" si="3">E35*D35</f>
        <v>0</v>
      </c>
      <c r="G35" s="20"/>
    </row>
    <row r="36" spans="1:7" ht="19.8" customHeight="1" x14ac:dyDescent="0.3">
      <c r="A36" s="18"/>
      <c r="B36" s="34" t="s">
        <v>59</v>
      </c>
      <c r="C36" s="37"/>
      <c r="D36" s="36">
        <v>496.6</v>
      </c>
      <c r="E36" s="1"/>
      <c r="F36" s="36">
        <f t="shared" si="3"/>
        <v>0</v>
      </c>
      <c r="G36" s="20"/>
    </row>
    <row r="37" spans="1:7" ht="19.8" customHeight="1" x14ac:dyDescent="0.3">
      <c r="A37" s="18"/>
      <c r="B37" s="34" t="s">
        <v>60</v>
      </c>
      <c r="C37" s="37"/>
      <c r="D37" s="36">
        <v>980.2</v>
      </c>
      <c r="E37" s="1"/>
      <c r="F37" s="36">
        <f>E37*D37</f>
        <v>0</v>
      </c>
      <c r="G37" s="20"/>
    </row>
    <row r="38" spans="1:7" ht="19.8" customHeight="1" x14ac:dyDescent="0.3">
      <c r="A38" s="18"/>
      <c r="B38" s="74" t="s">
        <v>45</v>
      </c>
      <c r="C38" s="45"/>
      <c r="D38" s="75"/>
      <c r="E38" s="45"/>
      <c r="F38" s="76"/>
      <c r="G38" s="20"/>
    </row>
    <row r="39" spans="1:7" ht="19.8" customHeight="1" x14ac:dyDescent="0.3">
      <c r="A39" s="73"/>
      <c r="B39" s="34" t="s">
        <v>21</v>
      </c>
      <c r="C39" s="39" t="s">
        <v>61</v>
      </c>
      <c r="D39" s="36">
        <v>113.1</v>
      </c>
      <c r="E39" s="4"/>
      <c r="F39" s="36">
        <f t="shared" ref="F39:F40" si="4">E39*D39</f>
        <v>0</v>
      </c>
      <c r="G39" s="20"/>
    </row>
    <row r="40" spans="1:7" ht="19.8" customHeight="1" x14ac:dyDescent="0.3">
      <c r="A40" s="18"/>
      <c r="B40" s="34" t="s">
        <v>96</v>
      </c>
      <c r="C40" s="39"/>
      <c r="D40" s="36">
        <v>603.20000000000005</v>
      </c>
      <c r="E40" s="1"/>
      <c r="F40" s="36">
        <f t="shared" si="4"/>
        <v>0</v>
      </c>
      <c r="G40" s="20"/>
    </row>
    <row r="41" spans="1:7" ht="19.8" customHeight="1" x14ac:dyDescent="0.3">
      <c r="A41" s="18"/>
      <c r="B41" s="70"/>
      <c r="C41" s="71"/>
      <c r="D41" s="72"/>
      <c r="E41" s="42"/>
      <c r="F41" s="43"/>
      <c r="G41" s="20"/>
    </row>
    <row r="42" spans="1:7" ht="19.8" customHeight="1" x14ac:dyDescent="0.3">
      <c r="A42" s="18"/>
      <c r="B42" s="34" t="s">
        <v>63</v>
      </c>
      <c r="C42" s="39"/>
      <c r="D42" s="36">
        <f>IF(E7=0,0,IF(E7&lt;15,750,IF(E7&gt;14,1000,)))</f>
        <v>0</v>
      </c>
      <c r="E42" s="1"/>
      <c r="F42" s="38">
        <f>D42*E42</f>
        <v>0</v>
      </c>
      <c r="G42" s="20"/>
    </row>
    <row r="43" spans="1:7" ht="19.8" customHeight="1" x14ac:dyDescent="0.3">
      <c r="A43" s="18"/>
      <c r="B43" s="34" t="s">
        <v>97</v>
      </c>
      <c r="C43" s="37"/>
      <c r="D43" s="36">
        <v>700</v>
      </c>
      <c r="E43" s="5">
        <v>1</v>
      </c>
      <c r="F43" s="36">
        <v>0</v>
      </c>
      <c r="G43" s="20"/>
    </row>
    <row r="44" spans="1:7" ht="19.8" customHeight="1" x14ac:dyDescent="0.3">
      <c r="A44" s="18"/>
      <c r="B44" s="34" t="s">
        <v>98</v>
      </c>
      <c r="C44" s="37"/>
      <c r="D44" s="36">
        <v>405</v>
      </c>
      <c r="E44" s="5">
        <v>1</v>
      </c>
      <c r="F44" s="36">
        <v>0</v>
      </c>
      <c r="G44" s="20"/>
    </row>
    <row r="45" spans="1:7" ht="19.8" customHeight="1" x14ac:dyDescent="0.3">
      <c r="A45" s="18"/>
      <c r="B45" s="34" t="s">
        <v>64</v>
      </c>
      <c r="C45" s="35"/>
      <c r="D45" s="36">
        <f>E45*0.1*(SUM(F6:F42)+D43+D44)</f>
        <v>0</v>
      </c>
      <c r="E45" s="1"/>
      <c r="F45" s="69">
        <v>0</v>
      </c>
      <c r="G45" s="20"/>
    </row>
    <row r="46" spans="1:7" ht="19.8" customHeight="1" x14ac:dyDescent="0.3">
      <c r="A46" s="18"/>
      <c r="B46" s="11"/>
      <c r="C46" s="11"/>
      <c r="D46" s="14"/>
      <c r="E46" s="26"/>
      <c r="F46" s="26"/>
      <c r="G46" s="20"/>
    </row>
    <row r="47" spans="1:7" ht="27.6" customHeight="1" x14ac:dyDescent="0.3">
      <c r="A47" s="18"/>
      <c r="B47" s="11"/>
      <c r="C47" s="80" t="s">
        <v>58</v>
      </c>
      <c r="D47" s="63"/>
      <c r="E47" s="28">
        <f>SUM(F6:F42)+D43+D44+D45</f>
        <v>7376.2000000000007</v>
      </c>
      <c r="F47" s="26"/>
      <c r="G47" s="20"/>
    </row>
    <row r="48" spans="1:7" ht="5.4" customHeight="1" x14ac:dyDescent="0.3">
      <c r="A48" s="18"/>
      <c r="B48" s="29"/>
      <c r="C48" s="78"/>
      <c r="D48" s="30"/>
      <c r="E48" s="31"/>
      <c r="F48" s="26"/>
      <c r="G48" s="20"/>
    </row>
    <row r="49" spans="1:7" ht="20.399999999999999" customHeight="1" x14ac:dyDescent="0.4">
      <c r="A49" s="18"/>
      <c r="B49" s="11"/>
      <c r="C49" s="81" t="s">
        <v>100</v>
      </c>
      <c r="D49" s="86">
        <v>0.2</v>
      </c>
      <c r="E49" s="32">
        <f>-(E47*E50)</f>
        <v>0</v>
      </c>
      <c r="F49" s="84" t="str">
        <f>IF(E50&gt;20%,"ATTENZIONE!","")</f>
        <v/>
      </c>
      <c r="G49" s="20"/>
    </row>
    <row r="50" spans="1:7" ht="28.2" customHeight="1" x14ac:dyDescent="0.3">
      <c r="A50" s="18"/>
      <c r="B50" s="8"/>
      <c r="C50" s="82"/>
      <c r="D50" s="9"/>
      <c r="E50" s="3">
        <v>0</v>
      </c>
      <c r="F50" s="85" t="str">
        <f>IF(E50&gt;20%,"SUPERATO LO SCONTO MASSIMO","")</f>
        <v/>
      </c>
      <c r="G50" s="20"/>
    </row>
    <row r="51" spans="1:7" ht="19.8" customHeight="1" x14ac:dyDescent="0.3">
      <c r="A51" s="18"/>
      <c r="B51" s="8"/>
      <c r="C51" s="82"/>
      <c r="D51" s="9"/>
      <c r="E51" s="10"/>
      <c r="F51" s="11"/>
      <c r="G51" s="20"/>
    </row>
    <row r="52" spans="1:7" ht="39" customHeight="1" x14ac:dyDescent="0.3">
      <c r="A52" s="18"/>
      <c r="B52" s="11"/>
      <c r="C52" s="83" t="s">
        <v>99</v>
      </c>
      <c r="D52" s="15"/>
      <c r="E52" s="16">
        <f>E47*(1-E50)</f>
        <v>7376.2000000000007</v>
      </c>
      <c r="F52" s="17" t="str">
        <f>"+ IVA 4% = "&amp;E52*1.04</f>
        <v>+ IVA 4% = 7671,248</v>
      </c>
      <c r="G52" s="20"/>
    </row>
    <row r="53" spans="1:7" ht="19.8" customHeight="1" x14ac:dyDescent="0.3">
      <c r="A53" s="18"/>
      <c r="B53" s="19"/>
      <c r="C53" s="19"/>
      <c r="D53" s="11"/>
      <c r="E53" s="11"/>
      <c r="F53" s="11"/>
      <c r="G53" s="20"/>
    </row>
    <row r="54" spans="1:7" ht="19.8" customHeight="1" x14ac:dyDescent="0.3">
      <c r="A54" s="21"/>
      <c r="B54" s="22"/>
      <c r="C54" s="22"/>
      <c r="D54" s="23"/>
      <c r="E54" s="23"/>
      <c r="F54" s="23"/>
      <c r="G54" s="24"/>
    </row>
    <row r="55" spans="1:7" ht="19.8" customHeight="1" x14ac:dyDescent="0.3"/>
    <row r="56" spans="1:7" ht="19.8" customHeight="1" x14ac:dyDescent="0.3"/>
    <row r="57" spans="1:7" ht="19.8" customHeight="1" x14ac:dyDescent="0.3"/>
    <row r="58" spans="1:7" ht="19.8" customHeight="1" x14ac:dyDescent="0.3"/>
    <row r="59" spans="1:7" ht="19.8" customHeight="1" x14ac:dyDescent="0.3"/>
    <row r="60" spans="1:7" ht="19.8" customHeight="1" x14ac:dyDescent="0.3"/>
    <row r="61" spans="1:7" ht="19.8" customHeight="1" x14ac:dyDescent="0.3"/>
    <row r="62" spans="1:7" ht="19.8" customHeight="1" x14ac:dyDescent="0.3"/>
    <row r="63" spans="1:7" ht="19.8" customHeight="1" x14ac:dyDescent="0.3"/>
    <row r="64" spans="1:7" ht="19.8" customHeight="1" x14ac:dyDescent="0.3"/>
  </sheetData>
  <sheetProtection algorithmName="SHA-512" hashValue="j6eY2DNqVVzOKEo7n4ejEOrZYRahLWp2DHUmWS42CzBD4c9aHQRXPvXxnEI2uFfpdKwoA50ValUChi8J5t3AAQ==" saltValue="jqEGw/4L6zzzNXXzTqFaNw==" spinCount="100000" sheet="1" selectLockedCells="1"/>
  <mergeCells count="3">
    <mergeCell ref="F2:F3"/>
    <mergeCell ref="B6:C6"/>
    <mergeCell ref="B2:C3"/>
  </mergeCells>
  <dataValidations count="2">
    <dataValidation type="list" allowBlank="1" showInputMessage="1" showErrorMessage="1" sqref="E6 E9:E18 E26:E28 E30:E33 E35:E37 E42:E45 E21:E24 E40" xr:uid="{E0D10300-DF7E-4378-80D5-C2D1ECD8F03B}">
      <formula1>"0,1"</formula1>
    </dataValidation>
    <dataValidation type="custom" operator="lessThanOrEqual" allowBlank="1" showInputMessage="1" showErrorMessage="1" sqref="E50" xr:uid="{4C673A34-6074-4A26-9321-EAA8B618279C}">
      <formula1>E50&lt;=D49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FFF78-320A-B747-972D-FDE15A8DEFA1}">
  <dimension ref="A1:G60"/>
  <sheetViews>
    <sheetView zoomScaleNormal="100" workbookViewId="0">
      <selection activeCell="E3" sqref="E3"/>
    </sheetView>
  </sheetViews>
  <sheetFormatPr defaultColWidth="11" defaultRowHeight="15.6" x14ac:dyDescent="0.3"/>
  <cols>
    <col min="1" max="1" width="14.69921875" customWidth="1"/>
    <col min="2" max="2" width="67.69921875" customWidth="1"/>
    <col min="3" max="3" width="30.69921875" customWidth="1"/>
    <col min="4" max="4" width="10.59765625" hidden="1" customWidth="1"/>
    <col min="5" max="5" width="25.296875" customWidth="1"/>
    <col min="6" max="6" width="20.296875" customWidth="1"/>
    <col min="7" max="7" width="14.59765625" customWidth="1"/>
    <col min="8" max="8" width="72.59765625" customWidth="1"/>
  </cols>
  <sheetData>
    <row r="1" spans="1:7" ht="11.4" customHeight="1" x14ac:dyDescent="0.3">
      <c r="A1" s="57"/>
      <c r="B1" s="58"/>
      <c r="C1" s="58"/>
      <c r="D1" s="58"/>
      <c r="E1" s="58"/>
      <c r="F1" s="58"/>
      <c r="G1" s="59"/>
    </row>
    <row r="2" spans="1:7" ht="14.4" customHeight="1" x14ac:dyDescent="0.3">
      <c r="A2" s="18"/>
      <c r="B2" s="92" t="s">
        <v>54</v>
      </c>
      <c r="C2" s="93"/>
      <c r="D2" s="55"/>
      <c r="E2" s="60" t="s">
        <v>53</v>
      </c>
      <c r="F2" s="89" t="e" vm="1">
        <v>#VALUE!</v>
      </c>
      <c r="G2" s="20"/>
    </row>
    <row r="3" spans="1:7" ht="45" customHeight="1" x14ac:dyDescent="0.45">
      <c r="A3" s="18"/>
      <c r="B3" s="92"/>
      <c r="C3" s="93"/>
      <c r="D3" s="56"/>
      <c r="E3" s="2"/>
      <c r="F3" s="89"/>
      <c r="G3" s="20"/>
    </row>
    <row r="4" spans="1:7" ht="11.4" customHeight="1" x14ac:dyDescent="0.45">
      <c r="A4" s="18"/>
      <c r="B4" s="50"/>
      <c r="C4" s="50"/>
      <c r="D4" s="51"/>
      <c r="E4" s="52"/>
      <c r="F4" s="53"/>
      <c r="G4" s="20"/>
    </row>
    <row r="5" spans="1:7" s="13" customFormat="1" ht="19.8" customHeight="1" x14ac:dyDescent="0.3">
      <c r="A5" s="7"/>
      <c r="B5" s="44" t="s">
        <v>41</v>
      </c>
      <c r="C5" s="45"/>
      <c r="D5" s="54"/>
      <c r="E5" s="45"/>
      <c r="F5" s="46"/>
      <c r="G5" s="12"/>
    </row>
    <row r="6" spans="1:7" s="13" customFormat="1" ht="19.8" customHeight="1" x14ac:dyDescent="0.3">
      <c r="A6" s="7"/>
      <c r="B6" s="90" t="s">
        <v>46</v>
      </c>
      <c r="C6" s="91"/>
      <c r="D6" s="36">
        <v>7551.7000000000007</v>
      </c>
      <c r="E6" s="5">
        <v>1</v>
      </c>
      <c r="F6" s="38">
        <f>E6*D6</f>
        <v>7551.7000000000007</v>
      </c>
      <c r="G6" s="12"/>
    </row>
    <row r="7" spans="1:7" s="13" customFormat="1" ht="19.8" customHeight="1" x14ac:dyDescent="0.3">
      <c r="A7" s="7"/>
      <c r="B7" s="49" t="s">
        <v>0</v>
      </c>
      <c r="C7" s="39" t="s">
        <v>62</v>
      </c>
      <c r="D7" s="36">
        <v>260</v>
      </c>
      <c r="E7" s="4"/>
      <c r="F7" s="38">
        <f>E7*D7</f>
        <v>0</v>
      </c>
      <c r="G7" s="12"/>
    </row>
    <row r="8" spans="1:7" s="13" customFormat="1" ht="19.8" customHeight="1" x14ac:dyDescent="0.3">
      <c r="A8" s="7"/>
      <c r="B8" s="44" t="s">
        <v>42</v>
      </c>
      <c r="C8" s="45"/>
      <c r="D8" s="45"/>
      <c r="E8" s="45"/>
      <c r="F8" s="46"/>
      <c r="G8" s="12"/>
    </row>
    <row r="9" spans="1:7" s="13" customFormat="1" ht="19.8" customHeight="1" x14ac:dyDescent="0.3">
      <c r="A9" s="7"/>
      <c r="B9" s="34" t="s">
        <v>22</v>
      </c>
      <c r="C9" s="37"/>
      <c r="D9" s="36">
        <v>344.5</v>
      </c>
      <c r="E9" s="5">
        <v>1</v>
      </c>
      <c r="F9" s="38">
        <v>0</v>
      </c>
      <c r="G9" s="12"/>
    </row>
    <row r="10" spans="1:7" s="13" customFormat="1" ht="19.8" customHeight="1" x14ac:dyDescent="0.3">
      <c r="A10" s="7"/>
      <c r="B10" s="34" t="s">
        <v>23</v>
      </c>
      <c r="C10" s="37"/>
      <c r="D10" s="36">
        <v>344.5</v>
      </c>
      <c r="E10" s="1"/>
      <c r="F10" s="38">
        <f>E10*D10</f>
        <v>0</v>
      </c>
      <c r="G10" s="12"/>
    </row>
    <row r="11" spans="1:7" s="13" customFormat="1" ht="19.8" customHeight="1" x14ac:dyDescent="0.3">
      <c r="A11" s="7"/>
      <c r="B11" s="34" t="s">
        <v>24</v>
      </c>
      <c r="C11" s="37"/>
      <c r="D11" s="36">
        <v>661.7</v>
      </c>
      <c r="E11" s="1"/>
      <c r="F11" s="38">
        <f>E11*D11</f>
        <v>0</v>
      </c>
      <c r="G11" s="12"/>
    </row>
    <row r="12" spans="1:7" s="13" customFormat="1" ht="19.8" customHeight="1" x14ac:dyDescent="0.3">
      <c r="A12" s="7"/>
      <c r="B12" s="34" t="s">
        <v>25</v>
      </c>
      <c r="C12" s="37"/>
      <c r="D12" s="36">
        <v>301.60000000000002</v>
      </c>
      <c r="E12" s="1"/>
      <c r="F12" s="38">
        <f>E12*D12</f>
        <v>0</v>
      </c>
      <c r="G12" s="12"/>
    </row>
    <row r="13" spans="1:7" s="13" customFormat="1" ht="19.8" customHeight="1" x14ac:dyDescent="0.3">
      <c r="A13" s="7"/>
      <c r="B13" s="44" t="s">
        <v>43</v>
      </c>
      <c r="C13" s="45"/>
      <c r="D13" s="45"/>
      <c r="E13" s="45"/>
      <c r="F13" s="46"/>
      <c r="G13" s="12"/>
    </row>
    <row r="14" spans="1:7" s="13" customFormat="1" ht="19.8" customHeight="1" x14ac:dyDescent="0.3">
      <c r="A14" s="7"/>
      <c r="B14" s="34" t="s">
        <v>9</v>
      </c>
      <c r="C14" s="39" t="s">
        <v>61</v>
      </c>
      <c r="D14" s="36">
        <v>644.79999999999995</v>
      </c>
      <c r="E14" s="4"/>
      <c r="F14" s="38">
        <f t="shared" ref="F14:F21" si="0">E14*D14</f>
        <v>0</v>
      </c>
      <c r="G14" s="12"/>
    </row>
    <row r="15" spans="1:7" s="13" customFormat="1" ht="19.8" customHeight="1" x14ac:dyDescent="0.3">
      <c r="A15" s="7"/>
      <c r="B15" s="34" t="s">
        <v>10</v>
      </c>
      <c r="C15" s="37"/>
      <c r="D15" s="36">
        <v>0</v>
      </c>
      <c r="E15" s="1"/>
      <c r="F15" s="38">
        <f t="shared" si="0"/>
        <v>0</v>
      </c>
      <c r="G15" s="12"/>
    </row>
    <row r="16" spans="1:7" s="13" customFormat="1" ht="19.8" customHeight="1" x14ac:dyDescent="0.3">
      <c r="A16" s="7"/>
      <c r="B16" s="34" t="s">
        <v>11</v>
      </c>
      <c r="C16" s="37"/>
      <c r="D16" s="36">
        <v>0</v>
      </c>
      <c r="E16" s="1"/>
      <c r="F16" s="38">
        <f t="shared" si="0"/>
        <v>0</v>
      </c>
      <c r="G16" s="12"/>
    </row>
    <row r="17" spans="1:7" s="13" customFormat="1" ht="19.8" customHeight="1" x14ac:dyDescent="0.3">
      <c r="A17" s="7"/>
      <c r="B17" s="34" t="s">
        <v>12</v>
      </c>
      <c r="C17" s="37"/>
      <c r="D17" s="36">
        <v>1062.0999999999999</v>
      </c>
      <c r="E17" s="1"/>
      <c r="F17" s="38">
        <f t="shared" si="0"/>
        <v>0</v>
      </c>
      <c r="G17" s="12"/>
    </row>
    <row r="18" spans="1:7" s="13" customFormat="1" ht="19.8" customHeight="1" x14ac:dyDescent="0.3">
      <c r="A18" s="7"/>
      <c r="B18" s="34" t="s">
        <v>14</v>
      </c>
      <c r="C18" s="39" t="s">
        <v>61</v>
      </c>
      <c r="D18" s="36">
        <v>114.4</v>
      </c>
      <c r="E18" s="4"/>
      <c r="F18" s="38">
        <f t="shared" si="0"/>
        <v>0</v>
      </c>
      <c r="G18" s="12"/>
    </row>
    <row r="19" spans="1:7" s="13" customFormat="1" ht="19.8" customHeight="1" x14ac:dyDescent="0.3">
      <c r="A19" s="7"/>
      <c r="B19" s="34" t="s">
        <v>15</v>
      </c>
      <c r="C19" s="39" t="s">
        <v>61</v>
      </c>
      <c r="D19" s="36">
        <v>126.10000000000001</v>
      </c>
      <c r="E19" s="4"/>
      <c r="F19" s="38">
        <f t="shared" si="0"/>
        <v>0</v>
      </c>
      <c r="G19" s="12"/>
    </row>
    <row r="20" spans="1:7" s="13" customFormat="1" ht="19.8" customHeight="1" x14ac:dyDescent="0.3">
      <c r="A20" s="7"/>
      <c r="B20" s="47" t="s">
        <v>47</v>
      </c>
      <c r="C20" s="48"/>
      <c r="D20" s="36">
        <v>2093</v>
      </c>
      <c r="E20" s="1"/>
      <c r="F20" s="38">
        <f t="shared" si="0"/>
        <v>0</v>
      </c>
      <c r="G20" s="12"/>
    </row>
    <row r="21" spans="1:7" s="13" customFormat="1" ht="19.8" customHeight="1" x14ac:dyDescent="0.3">
      <c r="A21" s="7"/>
      <c r="B21" s="34" t="s">
        <v>19</v>
      </c>
      <c r="C21" s="37"/>
      <c r="D21" s="36">
        <v>2353</v>
      </c>
      <c r="E21" s="1"/>
      <c r="F21" s="38">
        <f t="shared" si="0"/>
        <v>0</v>
      </c>
      <c r="G21" s="12"/>
    </row>
    <row r="22" spans="1:7" s="13" customFormat="1" ht="19.8" customHeight="1" x14ac:dyDescent="0.3">
      <c r="A22" s="7"/>
      <c r="B22" s="44" t="s">
        <v>44</v>
      </c>
      <c r="C22" s="45"/>
      <c r="D22" s="45"/>
      <c r="E22" s="45"/>
      <c r="F22" s="46"/>
      <c r="G22" s="12"/>
    </row>
    <row r="23" spans="1:7" s="13" customFormat="1" ht="19.8" customHeight="1" x14ac:dyDescent="0.3">
      <c r="A23" s="7"/>
      <c r="B23" s="34" t="s">
        <v>20</v>
      </c>
      <c r="C23" s="37"/>
      <c r="D23" s="36">
        <v>384.8</v>
      </c>
      <c r="E23" s="1"/>
      <c r="F23" s="38">
        <f>E23*D23</f>
        <v>0</v>
      </c>
      <c r="G23" s="12"/>
    </row>
    <row r="24" spans="1:7" s="13" customFormat="1" ht="19.8" customHeight="1" x14ac:dyDescent="0.3">
      <c r="A24" s="7"/>
      <c r="B24" s="34" t="s">
        <v>26</v>
      </c>
      <c r="C24" s="37"/>
      <c r="D24" s="36">
        <v>720.2</v>
      </c>
      <c r="E24" s="1"/>
      <c r="F24" s="38">
        <f>E24*D24</f>
        <v>0</v>
      </c>
      <c r="G24" s="12"/>
    </row>
    <row r="25" spans="1:7" s="13" customFormat="1" ht="19.8" customHeight="1" x14ac:dyDescent="0.3">
      <c r="A25" s="7"/>
      <c r="B25" s="34" t="s">
        <v>27</v>
      </c>
      <c r="C25" s="37"/>
      <c r="D25" s="36">
        <v>332.8</v>
      </c>
      <c r="E25" s="1"/>
      <c r="F25" s="38">
        <f>E25*D25</f>
        <v>0</v>
      </c>
      <c r="G25" s="12"/>
    </row>
    <row r="26" spans="1:7" s="13" customFormat="1" ht="19.8" customHeight="1" x14ac:dyDescent="0.3">
      <c r="A26" s="7"/>
      <c r="B26" s="44" t="s">
        <v>45</v>
      </c>
      <c r="C26" s="45"/>
      <c r="D26" s="45"/>
      <c r="E26" s="45"/>
      <c r="F26" s="46"/>
      <c r="G26" s="12"/>
    </row>
    <row r="27" spans="1:7" s="13" customFormat="1" ht="19.8" customHeight="1" x14ac:dyDescent="0.3">
      <c r="A27" s="7"/>
      <c r="B27" s="34" t="s">
        <v>21</v>
      </c>
      <c r="C27" s="39" t="s">
        <v>61</v>
      </c>
      <c r="D27" s="36">
        <v>114.4</v>
      </c>
      <c r="E27" s="4"/>
      <c r="F27" s="38">
        <f>E27*D27</f>
        <v>0</v>
      </c>
      <c r="G27" s="12"/>
    </row>
    <row r="28" spans="1:7" s="13" customFormat="1" ht="19.8" customHeight="1" x14ac:dyDescent="0.3">
      <c r="A28" s="7"/>
      <c r="B28" s="34" t="s">
        <v>94</v>
      </c>
      <c r="C28" s="37"/>
      <c r="D28" s="36">
        <v>176.8</v>
      </c>
      <c r="E28" s="1"/>
      <c r="F28" s="38">
        <f>E28*D28</f>
        <v>0</v>
      </c>
      <c r="G28" s="12"/>
    </row>
    <row r="29" spans="1:7" s="13" customFormat="1" ht="19.8" customHeight="1" x14ac:dyDescent="0.3">
      <c r="A29" s="7"/>
      <c r="B29" s="34" t="s">
        <v>95</v>
      </c>
      <c r="C29" s="37"/>
      <c r="D29" s="36">
        <v>1121.9000000000001</v>
      </c>
      <c r="E29" s="1"/>
      <c r="F29" s="38">
        <f t="shared" ref="F29:F30" si="1">E29*D29</f>
        <v>0</v>
      </c>
      <c r="G29" s="12"/>
    </row>
    <row r="30" spans="1:7" s="13" customFormat="1" ht="19.8" customHeight="1" x14ac:dyDescent="0.3">
      <c r="A30" s="7"/>
      <c r="B30" s="34" t="s">
        <v>28</v>
      </c>
      <c r="C30" s="37"/>
      <c r="D30" s="36">
        <v>344.5</v>
      </c>
      <c r="E30" s="1"/>
      <c r="F30" s="38">
        <f t="shared" si="1"/>
        <v>0</v>
      </c>
      <c r="G30" s="12"/>
    </row>
    <row r="31" spans="1:7" s="13" customFormat="1" ht="19.8" customHeight="1" x14ac:dyDescent="0.3">
      <c r="A31" s="7"/>
      <c r="B31" s="34" t="s">
        <v>29</v>
      </c>
      <c r="C31" s="39" t="s">
        <v>61</v>
      </c>
      <c r="D31" s="36">
        <v>114.4</v>
      </c>
      <c r="E31" s="4"/>
      <c r="F31" s="38">
        <f>E31*D31</f>
        <v>0</v>
      </c>
      <c r="G31" s="12"/>
    </row>
    <row r="32" spans="1:7" s="13" customFormat="1" ht="19.8" customHeight="1" x14ac:dyDescent="0.3">
      <c r="A32" s="7"/>
      <c r="B32" s="40"/>
      <c r="C32" s="41"/>
      <c r="D32" s="41"/>
      <c r="E32" s="42"/>
      <c r="F32" s="43"/>
      <c r="G32" s="12"/>
    </row>
    <row r="33" spans="1:7" s="13" customFormat="1" ht="19.8" customHeight="1" x14ac:dyDescent="0.3">
      <c r="A33" s="7"/>
      <c r="B33" s="34" t="s">
        <v>63</v>
      </c>
      <c r="C33" s="39"/>
      <c r="D33" s="36">
        <f>IF(E7=0,0,IF(E7&lt;15,750,IF(E7&gt;14,1000,)))</f>
        <v>0</v>
      </c>
      <c r="E33" s="1"/>
      <c r="F33" s="38">
        <f>D33*E33</f>
        <v>0</v>
      </c>
      <c r="G33" s="12"/>
    </row>
    <row r="34" spans="1:7" s="13" customFormat="1" ht="19.8" customHeight="1" x14ac:dyDescent="0.3">
      <c r="A34" s="7"/>
      <c r="B34" s="34" t="s">
        <v>97</v>
      </c>
      <c r="C34" s="37"/>
      <c r="D34" s="36">
        <v>700</v>
      </c>
      <c r="E34" s="5">
        <v>1</v>
      </c>
      <c r="F34" s="38">
        <v>0</v>
      </c>
      <c r="G34" s="12"/>
    </row>
    <row r="35" spans="1:7" s="13" customFormat="1" ht="19.8" customHeight="1" x14ac:dyDescent="0.3">
      <c r="A35" s="7"/>
      <c r="B35" s="34" t="s">
        <v>98</v>
      </c>
      <c r="C35" s="37"/>
      <c r="D35" s="36">
        <v>290</v>
      </c>
      <c r="E35" s="5">
        <v>1</v>
      </c>
      <c r="F35" s="38">
        <v>0</v>
      </c>
      <c r="G35" s="12"/>
    </row>
    <row r="36" spans="1:7" s="13" customFormat="1" ht="19.8" customHeight="1" x14ac:dyDescent="0.3">
      <c r="A36" s="7"/>
      <c r="B36" s="34" t="s">
        <v>64</v>
      </c>
      <c r="C36" s="35"/>
      <c r="D36" s="36">
        <f>E36*0.1*(SUM(F6:F33)+D34+D35)</f>
        <v>0</v>
      </c>
      <c r="E36" s="1"/>
      <c r="F36" s="33">
        <v>0</v>
      </c>
      <c r="G36" s="12"/>
    </row>
    <row r="37" spans="1:7" s="13" customFormat="1" ht="19.8" customHeight="1" x14ac:dyDescent="0.3">
      <c r="A37" s="7"/>
      <c r="B37" s="14"/>
      <c r="C37" s="14"/>
      <c r="D37" s="14"/>
      <c r="E37" s="26"/>
      <c r="F37" s="26"/>
      <c r="G37" s="12"/>
    </row>
    <row r="38" spans="1:7" s="13" customFormat="1" ht="27.6" customHeight="1" x14ac:dyDescent="0.3">
      <c r="A38" s="7"/>
      <c r="B38" s="14"/>
      <c r="C38" s="80" t="s">
        <v>58</v>
      </c>
      <c r="D38" s="27"/>
      <c r="E38" s="28">
        <f>SUM(F6:F33)+D34+D35+D36+D9</f>
        <v>8886.2000000000007</v>
      </c>
      <c r="F38" s="26"/>
      <c r="G38" s="12"/>
    </row>
    <row r="39" spans="1:7" s="13" customFormat="1" ht="5.4" customHeight="1" x14ac:dyDescent="0.3">
      <c r="A39" s="7"/>
      <c r="B39" s="29"/>
      <c r="C39" s="78"/>
      <c r="D39" s="30"/>
      <c r="E39" s="31"/>
      <c r="F39" s="26"/>
      <c r="G39" s="12"/>
    </row>
    <row r="40" spans="1:7" s="13" customFormat="1" ht="20.399999999999999" customHeight="1" x14ac:dyDescent="0.4">
      <c r="A40" s="7"/>
      <c r="B40" s="14"/>
      <c r="C40" s="81" t="s">
        <v>100</v>
      </c>
      <c r="D40" s="86">
        <v>0.2</v>
      </c>
      <c r="E40" s="32">
        <f>-(E38*E41)</f>
        <v>0</v>
      </c>
      <c r="F40" s="84" t="str">
        <f>IF(E41&gt;20%,"ATTENZIONE!","")</f>
        <v/>
      </c>
      <c r="G40" s="12"/>
    </row>
    <row r="41" spans="1:7" s="13" customFormat="1" ht="28.2" customHeight="1" x14ac:dyDescent="0.3">
      <c r="A41" s="7"/>
      <c r="B41" s="8"/>
      <c r="C41" s="82"/>
      <c r="D41" s="9"/>
      <c r="E41" s="3">
        <v>0</v>
      </c>
      <c r="F41" s="85" t="str">
        <f>IF(E41&gt;20%,"SUPERATO LO SCONTO MASSIMO","")</f>
        <v/>
      </c>
      <c r="G41" s="12"/>
    </row>
    <row r="42" spans="1:7" s="13" customFormat="1" ht="19.8" customHeight="1" x14ac:dyDescent="0.3">
      <c r="A42" s="7"/>
      <c r="B42" s="8"/>
      <c r="C42" s="82"/>
      <c r="D42" s="9"/>
      <c r="E42" s="10"/>
      <c r="F42" s="11"/>
      <c r="G42" s="12"/>
    </row>
    <row r="43" spans="1:7" s="13" customFormat="1" ht="39" customHeight="1" x14ac:dyDescent="0.3">
      <c r="A43" s="7"/>
      <c r="B43" s="14"/>
      <c r="C43" s="83" t="s">
        <v>99</v>
      </c>
      <c r="D43" s="15"/>
      <c r="E43" s="16">
        <f>E38*(1-E41)</f>
        <v>8886.2000000000007</v>
      </c>
      <c r="F43" s="17" t="str">
        <f>"+ IVA 4% = "&amp;E43*1.04</f>
        <v>+ IVA 4% = 9241,648</v>
      </c>
      <c r="G43" s="12"/>
    </row>
    <row r="44" spans="1:7" ht="19.8" customHeight="1" x14ac:dyDescent="0.3">
      <c r="A44" s="18"/>
      <c r="B44" s="19"/>
      <c r="C44" s="19"/>
      <c r="D44" s="11"/>
      <c r="E44" s="11"/>
      <c r="F44" s="11"/>
      <c r="G44" s="20"/>
    </row>
    <row r="45" spans="1:7" ht="19.8" customHeight="1" x14ac:dyDescent="0.3">
      <c r="A45" s="21"/>
      <c r="B45" s="22"/>
      <c r="C45" s="22"/>
      <c r="D45" s="23"/>
      <c r="E45" s="23"/>
      <c r="F45" s="23"/>
      <c r="G45" s="24"/>
    </row>
    <row r="46" spans="1:7" ht="19.8" customHeight="1" x14ac:dyDescent="0.3">
      <c r="B46" s="25"/>
      <c r="C46" s="25"/>
    </row>
    <row r="47" spans="1:7" ht="19.8" customHeight="1" x14ac:dyDescent="0.3"/>
    <row r="48" spans="1:7" ht="19.8" customHeight="1" x14ac:dyDescent="0.3"/>
    <row r="49" ht="19.8" customHeight="1" x14ac:dyDescent="0.3"/>
    <row r="50" ht="19.8" customHeight="1" x14ac:dyDescent="0.3"/>
    <row r="51" ht="19.8" customHeight="1" x14ac:dyDescent="0.3"/>
    <row r="52" ht="19.8" customHeight="1" x14ac:dyDescent="0.3"/>
    <row r="53" ht="19.8" customHeight="1" x14ac:dyDescent="0.3"/>
    <row r="54" ht="19.8" customHeight="1" x14ac:dyDescent="0.3"/>
    <row r="55" ht="19.8" customHeight="1" x14ac:dyDescent="0.3"/>
    <row r="56" ht="19.8" customHeight="1" x14ac:dyDescent="0.3"/>
    <row r="57" ht="19.8" customHeight="1" x14ac:dyDescent="0.3"/>
    <row r="58" ht="19.8" customHeight="1" x14ac:dyDescent="0.3"/>
    <row r="59" ht="19.8" customHeight="1" x14ac:dyDescent="0.3"/>
    <row r="60" ht="19.8" customHeight="1" x14ac:dyDescent="0.3"/>
  </sheetData>
  <sheetProtection algorithmName="SHA-512" hashValue="hEoqxVDBUUIP3E822AlpaXhlEoNNgGQX3uQgne1ufUBFGyqInu38K45w0dxpV6/LBPJuU2LqSK8j+CzvnM0S/A==" saltValue="LqBBSOr04e0UYyVBDQSHMg==" spinCount="100000" sheet="1" objects="1" scenarios="1" selectLockedCells="1"/>
  <mergeCells count="3">
    <mergeCell ref="F2:F3"/>
    <mergeCell ref="B6:C6"/>
    <mergeCell ref="B2:C3"/>
  </mergeCells>
  <dataValidations count="2">
    <dataValidation type="list" allowBlank="1" showInputMessage="1" showErrorMessage="1" sqref="E6 E9:E12 E15:E17 E23:E25 E33:E36 E20:E21 E28:E30" xr:uid="{6DE98144-E479-4FCB-BDEB-85DD95D009DB}">
      <formula1>"0,1"</formula1>
    </dataValidation>
    <dataValidation type="custom" operator="lessThanOrEqual" allowBlank="1" showInputMessage="1" showErrorMessage="1" sqref="E41" xr:uid="{8DC131DC-B2E8-4E0F-BF77-781CAA888DAE}">
      <formula1>E41&lt;=D40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2EED-937D-4B20-9626-F6E2DE7E3865}">
  <dimension ref="A1:G62"/>
  <sheetViews>
    <sheetView zoomScaleNormal="100" workbookViewId="0">
      <selection activeCell="E3" sqref="E3"/>
    </sheetView>
  </sheetViews>
  <sheetFormatPr defaultColWidth="11" defaultRowHeight="15.6" x14ac:dyDescent="0.3"/>
  <cols>
    <col min="1" max="1" width="14.69921875" customWidth="1"/>
    <col min="2" max="2" width="61.3984375" customWidth="1"/>
    <col min="3" max="3" width="31.796875" customWidth="1"/>
    <col min="4" max="4" width="10.59765625" hidden="1" customWidth="1"/>
    <col min="5" max="5" width="25.296875" customWidth="1"/>
    <col min="6" max="6" width="20.296875" customWidth="1"/>
    <col min="7" max="7" width="14.59765625" customWidth="1"/>
    <col min="8" max="8" width="14.5" customWidth="1"/>
  </cols>
  <sheetData>
    <row r="1" spans="1:7" ht="11.4" customHeight="1" x14ac:dyDescent="0.3">
      <c r="A1" s="57"/>
      <c r="B1" s="58"/>
      <c r="C1" s="58"/>
      <c r="D1" s="58"/>
      <c r="E1" s="58"/>
      <c r="F1" s="58"/>
      <c r="G1" s="59"/>
    </row>
    <row r="2" spans="1:7" ht="14.4" customHeight="1" x14ac:dyDescent="0.3">
      <c r="A2" s="18"/>
      <c r="B2" s="92" t="s">
        <v>89</v>
      </c>
      <c r="C2" s="93"/>
      <c r="D2" s="55"/>
      <c r="E2" s="60" t="s">
        <v>53</v>
      </c>
      <c r="F2" s="89" t="e" vm="1">
        <v>#VALUE!</v>
      </c>
      <c r="G2" s="20"/>
    </row>
    <row r="3" spans="1:7" ht="45" customHeight="1" x14ac:dyDescent="0.45">
      <c r="A3" s="18"/>
      <c r="B3" s="92"/>
      <c r="C3" s="93"/>
      <c r="D3" s="56"/>
      <c r="E3" s="2"/>
      <c r="F3" s="89"/>
      <c r="G3" s="20"/>
    </row>
    <row r="4" spans="1:7" ht="11.4" customHeight="1" x14ac:dyDescent="0.45">
      <c r="A4" s="18"/>
      <c r="B4" s="50"/>
      <c r="C4" s="50"/>
      <c r="D4" s="51"/>
      <c r="E4" s="52"/>
      <c r="F4" s="53"/>
      <c r="G4" s="20"/>
    </row>
    <row r="5" spans="1:7" s="13" customFormat="1" ht="19.8" customHeight="1" x14ac:dyDescent="0.3">
      <c r="A5" s="7"/>
      <c r="B5" s="44" t="s">
        <v>88</v>
      </c>
      <c r="C5" s="45"/>
      <c r="D5" s="54"/>
      <c r="E5" s="45"/>
      <c r="F5" s="46"/>
      <c r="G5" s="12"/>
    </row>
    <row r="6" spans="1:7" s="13" customFormat="1" ht="19.8" customHeight="1" x14ac:dyDescent="0.3">
      <c r="A6" s="7"/>
      <c r="B6" s="90" t="s">
        <v>84</v>
      </c>
      <c r="C6" s="94"/>
      <c r="D6" s="36">
        <v>6680</v>
      </c>
      <c r="E6" s="6">
        <v>1</v>
      </c>
      <c r="F6" s="33">
        <f>E6*D6</f>
        <v>6680</v>
      </c>
      <c r="G6" s="12"/>
    </row>
    <row r="7" spans="1:7" s="13" customFormat="1" ht="19.8" hidden="1" customHeight="1" x14ac:dyDescent="0.3">
      <c r="A7" s="7"/>
      <c r="B7" s="90" t="s">
        <v>87</v>
      </c>
      <c r="C7" s="94"/>
      <c r="D7" s="36">
        <v>3016</v>
      </c>
      <c r="E7" s="6"/>
      <c r="F7" s="33">
        <f>E7*D7</f>
        <v>0</v>
      </c>
      <c r="G7" s="12"/>
    </row>
    <row r="8" spans="1:7" s="13" customFormat="1" ht="19.8" hidden="1" customHeight="1" x14ac:dyDescent="0.3">
      <c r="A8" s="7"/>
      <c r="B8" s="90" t="s">
        <v>86</v>
      </c>
      <c r="C8" s="94"/>
      <c r="D8" s="36">
        <v>504</v>
      </c>
      <c r="E8" s="6"/>
      <c r="F8" s="33">
        <f>E8*D8</f>
        <v>0</v>
      </c>
      <c r="G8" s="12"/>
    </row>
    <row r="9" spans="1:7" s="13" customFormat="1" ht="19.8" hidden="1" customHeight="1" x14ac:dyDescent="0.3">
      <c r="A9" s="7"/>
      <c r="B9" s="90" t="s">
        <v>85</v>
      </c>
      <c r="C9" s="94"/>
      <c r="D9" s="36">
        <v>3160</v>
      </c>
      <c r="E9" s="6"/>
      <c r="F9" s="33">
        <f>E9*D9</f>
        <v>0</v>
      </c>
      <c r="G9" s="12"/>
    </row>
    <row r="10" spans="1:7" s="13" customFormat="1" ht="19.8" customHeight="1" x14ac:dyDescent="0.3">
      <c r="A10" s="7"/>
      <c r="B10" s="44" t="s">
        <v>90</v>
      </c>
      <c r="C10" s="45"/>
      <c r="D10" s="45"/>
      <c r="E10" s="45"/>
      <c r="F10" s="46"/>
      <c r="G10" s="12"/>
    </row>
    <row r="11" spans="1:7" s="13" customFormat="1" ht="19.8" customHeight="1" x14ac:dyDescent="0.3">
      <c r="A11" s="7"/>
      <c r="B11" s="34" t="s">
        <v>84</v>
      </c>
      <c r="C11" s="35"/>
      <c r="D11" s="36">
        <v>8572</v>
      </c>
      <c r="E11" s="4"/>
      <c r="F11" s="38">
        <f>E11*D11</f>
        <v>0</v>
      </c>
      <c r="G11" s="12"/>
    </row>
    <row r="12" spans="1:7" s="13" customFormat="1" ht="19.8" hidden="1" customHeight="1" x14ac:dyDescent="0.3">
      <c r="A12" s="7"/>
      <c r="B12" s="90" t="s">
        <v>83</v>
      </c>
      <c r="C12" s="94"/>
      <c r="D12" s="36">
        <v>3698</v>
      </c>
      <c r="E12" s="6"/>
      <c r="F12" s="33">
        <f>E12*D12</f>
        <v>0</v>
      </c>
      <c r="G12" s="12"/>
    </row>
    <row r="13" spans="1:7" s="13" customFormat="1" ht="19.8" hidden="1" customHeight="1" x14ac:dyDescent="0.3">
      <c r="A13" s="7"/>
      <c r="B13" s="90" t="s">
        <v>79</v>
      </c>
      <c r="C13" s="94"/>
      <c r="D13" s="36">
        <v>882</v>
      </c>
      <c r="E13" s="6"/>
      <c r="F13" s="33">
        <f>E13*D13</f>
        <v>0</v>
      </c>
      <c r="G13" s="12"/>
    </row>
    <row r="14" spans="1:7" s="13" customFormat="1" ht="19.8" hidden="1" customHeight="1" x14ac:dyDescent="0.3">
      <c r="A14" s="7"/>
      <c r="B14" s="90" t="s">
        <v>82</v>
      </c>
      <c r="C14" s="94"/>
      <c r="D14" s="36">
        <v>3992</v>
      </c>
      <c r="E14" s="6"/>
      <c r="F14" s="33">
        <f>E14*D14</f>
        <v>0</v>
      </c>
      <c r="G14" s="12"/>
    </row>
    <row r="15" spans="1:7" s="13" customFormat="1" ht="19.8" customHeight="1" x14ac:dyDescent="0.3">
      <c r="A15" s="7"/>
      <c r="B15" s="44" t="s">
        <v>81</v>
      </c>
      <c r="C15" s="45"/>
      <c r="D15" s="45"/>
      <c r="E15" s="45"/>
      <c r="F15" s="46"/>
      <c r="G15" s="12"/>
    </row>
    <row r="16" spans="1:7" s="13" customFormat="1" ht="19.8" customHeight="1" x14ac:dyDescent="0.3">
      <c r="A16" s="7"/>
      <c r="B16" s="34" t="s">
        <v>80</v>
      </c>
      <c r="C16" s="35"/>
      <c r="D16" s="36">
        <v>658</v>
      </c>
      <c r="E16" s="1"/>
      <c r="F16" s="38">
        <f>E16*D16</f>
        <v>0</v>
      </c>
      <c r="G16" s="12"/>
    </row>
    <row r="17" spans="1:7" s="13" customFormat="1" ht="19.8" customHeight="1" x14ac:dyDescent="0.3">
      <c r="A17" s="7"/>
      <c r="B17" s="34" t="s">
        <v>79</v>
      </c>
      <c r="C17" s="35"/>
      <c r="D17" s="36">
        <v>882</v>
      </c>
      <c r="E17" s="1"/>
      <c r="F17" s="38">
        <f>E17*D17</f>
        <v>0</v>
      </c>
      <c r="G17" s="12"/>
    </row>
    <row r="18" spans="1:7" s="13" customFormat="1" ht="19.8" customHeight="1" x14ac:dyDescent="0.3">
      <c r="A18" s="7"/>
      <c r="B18" s="34" t="s">
        <v>78</v>
      </c>
      <c r="C18" s="35"/>
      <c r="D18" s="36">
        <v>76</v>
      </c>
      <c r="E18" s="1"/>
      <c r="F18" s="38">
        <f>E18*D18</f>
        <v>0</v>
      </c>
      <c r="G18" s="12"/>
    </row>
    <row r="19" spans="1:7" s="13" customFormat="1" ht="19.8" customHeight="1" x14ac:dyDescent="0.3">
      <c r="A19" s="7"/>
      <c r="B19" s="44" t="s">
        <v>77</v>
      </c>
      <c r="C19" s="45"/>
      <c r="D19" s="45"/>
      <c r="E19" s="45"/>
      <c r="F19" s="46"/>
      <c r="G19" s="12"/>
    </row>
    <row r="20" spans="1:7" s="13" customFormat="1" ht="19.8" customHeight="1" x14ac:dyDescent="0.3">
      <c r="A20" s="7"/>
      <c r="B20" s="34" t="s">
        <v>76</v>
      </c>
      <c r="C20" s="79" t="s">
        <v>61</v>
      </c>
      <c r="D20" s="36">
        <v>276</v>
      </c>
      <c r="E20" s="4"/>
      <c r="F20" s="38">
        <f t="shared" ref="F20:F33" si="0">E20*D20</f>
        <v>0</v>
      </c>
      <c r="G20" s="12"/>
    </row>
    <row r="21" spans="1:7" s="13" customFormat="1" ht="19.8" customHeight="1" x14ac:dyDescent="0.3">
      <c r="A21" s="7"/>
      <c r="B21" s="34" t="s">
        <v>75</v>
      </c>
      <c r="C21" s="79" t="s">
        <v>61</v>
      </c>
      <c r="D21" s="36">
        <v>434</v>
      </c>
      <c r="E21" s="4"/>
      <c r="F21" s="38">
        <f t="shared" si="0"/>
        <v>0</v>
      </c>
      <c r="G21" s="12"/>
    </row>
    <row r="22" spans="1:7" s="13" customFormat="1" ht="19.8" customHeight="1" x14ac:dyDescent="0.3">
      <c r="A22" s="7"/>
      <c r="B22" s="34" t="s">
        <v>74</v>
      </c>
      <c r="C22" s="79" t="s">
        <v>61</v>
      </c>
      <c r="D22" s="36">
        <v>712</v>
      </c>
      <c r="E22" s="4"/>
      <c r="F22" s="38">
        <f t="shared" si="0"/>
        <v>0</v>
      </c>
      <c r="G22" s="12"/>
    </row>
    <row r="23" spans="1:7" s="13" customFormat="1" ht="19.8" customHeight="1" x14ac:dyDescent="0.3">
      <c r="A23" s="7"/>
      <c r="B23" s="34" t="s">
        <v>73</v>
      </c>
      <c r="C23" s="79" t="s">
        <v>61</v>
      </c>
      <c r="D23" s="36">
        <v>1054</v>
      </c>
      <c r="E23" s="4"/>
      <c r="F23" s="38">
        <f t="shared" si="0"/>
        <v>0</v>
      </c>
      <c r="G23" s="12"/>
    </row>
    <row r="24" spans="1:7" s="13" customFormat="1" ht="19.8" customHeight="1" x14ac:dyDescent="0.3">
      <c r="A24" s="7"/>
      <c r="B24" s="34" t="s">
        <v>72</v>
      </c>
      <c r="C24" s="79" t="s">
        <v>61</v>
      </c>
      <c r="D24" s="36">
        <v>1036</v>
      </c>
      <c r="E24" s="4"/>
      <c r="F24" s="38">
        <f t="shared" si="0"/>
        <v>0</v>
      </c>
      <c r="G24" s="12"/>
    </row>
    <row r="25" spans="1:7" s="13" customFormat="1" ht="19.8" customHeight="1" x14ac:dyDescent="0.3">
      <c r="A25" s="7"/>
      <c r="B25" s="34" t="s">
        <v>71</v>
      </c>
      <c r="C25" s="79"/>
      <c r="D25" s="36">
        <v>422</v>
      </c>
      <c r="E25" s="1"/>
      <c r="F25" s="38">
        <f t="shared" si="0"/>
        <v>0</v>
      </c>
      <c r="G25" s="12"/>
    </row>
    <row r="26" spans="1:7" s="13" customFormat="1" ht="19.8" customHeight="1" x14ac:dyDescent="0.3">
      <c r="A26" s="7"/>
      <c r="B26" s="34" t="s">
        <v>70</v>
      </c>
      <c r="C26" s="79"/>
      <c r="D26" s="36">
        <v>330</v>
      </c>
      <c r="E26" s="1"/>
      <c r="F26" s="38">
        <f t="shared" si="0"/>
        <v>0</v>
      </c>
      <c r="G26" s="12"/>
    </row>
    <row r="27" spans="1:7" s="13" customFormat="1" ht="19.8" customHeight="1" x14ac:dyDescent="0.3">
      <c r="A27" s="7"/>
      <c r="B27" s="34" t="s">
        <v>92</v>
      </c>
      <c r="C27" s="79" t="s">
        <v>61</v>
      </c>
      <c r="D27" s="36">
        <v>488</v>
      </c>
      <c r="E27" s="4"/>
      <c r="F27" s="38">
        <f t="shared" si="0"/>
        <v>0</v>
      </c>
      <c r="G27" s="12"/>
    </row>
    <row r="28" spans="1:7" s="13" customFormat="1" ht="19.8" customHeight="1" x14ac:dyDescent="0.3">
      <c r="A28" s="7"/>
      <c r="B28" s="34" t="s">
        <v>91</v>
      </c>
      <c r="C28" s="79" t="s">
        <v>61</v>
      </c>
      <c r="D28" s="36">
        <v>132</v>
      </c>
      <c r="E28" s="4"/>
      <c r="F28" s="38">
        <f t="shared" si="0"/>
        <v>0</v>
      </c>
      <c r="G28" s="12"/>
    </row>
    <row r="29" spans="1:7" s="13" customFormat="1" ht="19.8" customHeight="1" x14ac:dyDescent="0.3">
      <c r="A29" s="7"/>
      <c r="B29" s="34" t="s">
        <v>69</v>
      </c>
      <c r="C29" s="79" t="s">
        <v>61</v>
      </c>
      <c r="D29" s="36">
        <v>198</v>
      </c>
      <c r="E29" s="4"/>
      <c r="F29" s="38">
        <f t="shared" si="0"/>
        <v>0</v>
      </c>
      <c r="G29" s="12"/>
    </row>
    <row r="30" spans="1:7" s="13" customFormat="1" ht="19.8" customHeight="1" x14ac:dyDescent="0.3">
      <c r="A30" s="7"/>
      <c r="B30" s="34" t="s">
        <v>68</v>
      </c>
      <c r="C30" s="79" t="s">
        <v>61</v>
      </c>
      <c r="D30" s="36">
        <v>8</v>
      </c>
      <c r="E30" s="4"/>
      <c r="F30" s="38">
        <f t="shared" si="0"/>
        <v>0</v>
      </c>
      <c r="G30" s="12"/>
    </row>
    <row r="31" spans="1:7" s="13" customFormat="1" ht="19.8" customHeight="1" x14ac:dyDescent="0.3">
      <c r="A31" s="7"/>
      <c r="B31" s="34" t="s">
        <v>67</v>
      </c>
      <c r="C31" s="35"/>
      <c r="D31" s="36">
        <v>40</v>
      </c>
      <c r="E31" s="1"/>
      <c r="F31" s="38">
        <f t="shared" si="0"/>
        <v>0</v>
      </c>
      <c r="G31" s="12"/>
    </row>
    <row r="32" spans="1:7" s="13" customFormat="1" ht="19.8" customHeight="1" x14ac:dyDescent="0.3">
      <c r="A32" s="7"/>
      <c r="B32" s="34" t="s">
        <v>66</v>
      </c>
      <c r="C32" s="35"/>
      <c r="D32" s="36">
        <v>628</v>
      </c>
      <c r="E32" s="1"/>
      <c r="F32" s="38">
        <f t="shared" si="0"/>
        <v>0</v>
      </c>
      <c r="G32" s="12"/>
    </row>
    <row r="33" spans="1:7" s="13" customFormat="1" ht="19.8" customHeight="1" x14ac:dyDescent="0.3">
      <c r="A33" s="7"/>
      <c r="B33" s="34" t="s">
        <v>65</v>
      </c>
      <c r="C33" s="35"/>
      <c r="D33" s="36">
        <v>628</v>
      </c>
      <c r="E33" s="1"/>
      <c r="F33" s="38">
        <f t="shared" si="0"/>
        <v>0</v>
      </c>
      <c r="G33" s="12"/>
    </row>
    <row r="34" spans="1:7" s="13" customFormat="1" ht="19.8" customHeight="1" x14ac:dyDescent="0.3">
      <c r="A34" s="7"/>
      <c r="B34" s="40"/>
      <c r="C34" s="41"/>
      <c r="D34" s="41"/>
      <c r="E34" s="42"/>
      <c r="F34" s="43"/>
      <c r="G34" s="12"/>
    </row>
    <row r="35" spans="1:7" s="13" customFormat="1" ht="19.8" customHeight="1" x14ac:dyDescent="0.3">
      <c r="A35" s="7"/>
      <c r="B35" s="34" t="s">
        <v>63</v>
      </c>
      <c r="C35" s="39"/>
      <c r="D35" s="36">
        <f>IF(E20=0,0,IF(E20&lt;10,750,IF(E20&gt;9,1000,)))</f>
        <v>0</v>
      </c>
      <c r="E35" s="1"/>
      <c r="F35" s="38">
        <f>D35*E35</f>
        <v>0</v>
      </c>
      <c r="G35" s="12"/>
    </row>
    <row r="36" spans="1:7" s="13" customFormat="1" ht="19.8" customHeight="1" x14ac:dyDescent="0.3">
      <c r="A36" s="7"/>
      <c r="B36" s="34" t="s">
        <v>97</v>
      </c>
      <c r="C36" s="35"/>
      <c r="D36" s="36">
        <v>700</v>
      </c>
      <c r="E36" s="6">
        <v>1</v>
      </c>
      <c r="F36" s="38">
        <v>0</v>
      </c>
      <c r="G36" s="12"/>
    </row>
    <row r="37" spans="1:7" s="13" customFormat="1" ht="19.8" customHeight="1" x14ac:dyDescent="0.3">
      <c r="A37" s="7"/>
      <c r="B37" s="34" t="s">
        <v>98</v>
      </c>
      <c r="C37" s="35"/>
      <c r="D37" s="36">
        <v>370</v>
      </c>
      <c r="E37" s="6">
        <v>1</v>
      </c>
      <c r="F37" s="38">
        <v>0</v>
      </c>
      <c r="G37" s="12"/>
    </row>
    <row r="38" spans="1:7" s="13" customFormat="1" ht="19.8" customHeight="1" x14ac:dyDescent="0.3">
      <c r="A38" s="7"/>
      <c r="B38" s="34" t="s">
        <v>64</v>
      </c>
      <c r="C38" s="35"/>
      <c r="D38" s="36">
        <f>E38*0.1*(SUM(F6:F35)+D36+D37)</f>
        <v>0</v>
      </c>
      <c r="E38" s="1"/>
      <c r="F38" s="33">
        <v>0</v>
      </c>
      <c r="G38" s="12"/>
    </row>
    <row r="39" spans="1:7" s="13" customFormat="1" ht="19.8" customHeight="1" x14ac:dyDescent="0.3">
      <c r="A39" s="7"/>
      <c r="B39" s="14"/>
      <c r="C39" s="14"/>
      <c r="D39" s="14"/>
      <c r="E39" s="26"/>
      <c r="F39" s="26"/>
      <c r="G39" s="12"/>
    </row>
    <row r="40" spans="1:7" s="13" customFormat="1" ht="27.6" customHeight="1" x14ac:dyDescent="0.3">
      <c r="A40" s="7"/>
      <c r="B40" s="14"/>
      <c r="C40" s="80" t="s">
        <v>58</v>
      </c>
      <c r="D40" s="27"/>
      <c r="E40" s="28">
        <f>SUM(F6:F35)+D36+D37+D38</f>
        <v>7750</v>
      </c>
      <c r="F40" s="26"/>
      <c r="G40" s="12"/>
    </row>
    <row r="41" spans="1:7" s="13" customFormat="1" ht="5.4" customHeight="1" x14ac:dyDescent="0.3">
      <c r="A41" s="7"/>
      <c r="B41" s="29"/>
      <c r="C41" s="78"/>
      <c r="D41" s="30"/>
      <c r="E41" s="31"/>
      <c r="F41" s="26"/>
      <c r="G41" s="12"/>
    </row>
    <row r="42" spans="1:7" s="13" customFormat="1" ht="20.399999999999999" customHeight="1" x14ac:dyDescent="0.4">
      <c r="A42" s="7"/>
      <c r="B42" s="14"/>
      <c r="C42" s="81" t="s">
        <v>100</v>
      </c>
      <c r="D42" s="86">
        <v>0.2</v>
      </c>
      <c r="E42" s="32">
        <f>-(E40*E43)</f>
        <v>0</v>
      </c>
      <c r="F42" s="84" t="str">
        <f>IF(E43&gt;20%,"ATTENZIONE!","")</f>
        <v/>
      </c>
      <c r="G42" s="12"/>
    </row>
    <row r="43" spans="1:7" s="13" customFormat="1" ht="28.2" customHeight="1" x14ac:dyDescent="0.3">
      <c r="A43" s="7"/>
      <c r="B43" s="8"/>
      <c r="C43" s="82"/>
      <c r="D43" s="9"/>
      <c r="E43" s="3">
        <v>0</v>
      </c>
      <c r="F43" s="85" t="str">
        <f>IF(E43&gt;20%,"SUPERATO LO SCONTO MASSIMO","")</f>
        <v/>
      </c>
      <c r="G43" s="12"/>
    </row>
    <row r="44" spans="1:7" s="13" customFormat="1" ht="19.8" customHeight="1" x14ac:dyDescent="0.3">
      <c r="A44" s="7"/>
      <c r="B44" s="8"/>
      <c r="C44" s="82"/>
      <c r="D44" s="9"/>
      <c r="E44" s="10"/>
      <c r="F44" s="11"/>
      <c r="G44" s="12"/>
    </row>
    <row r="45" spans="1:7" s="13" customFormat="1" ht="39" customHeight="1" x14ac:dyDescent="0.3">
      <c r="A45" s="7"/>
      <c r="B45" s="14"/>
      <c r="C45" s="83" t="s">
        <v>99</v>
      </c>
      <c r="D45" s="15"/>
      <c r="E45" s="16">
        <f>E40*(1-E43)</f>
        <v>7750</v>
      </c>
      <c r="F45" s="17" t="str">
        <f>"+ IVA 4% = "&amp;E45*1.04</f>
        <v>+ IVA 4% = 8060</v>
      </c>
      <c r="G45" s="12"/>
    </row>
    <row r="46" spans="1:7" x14ac:dyDescent="0.3">
      <c r="A46" s="18"/>
      <c r="B46" s="19"/>
      <c r="C46" s="19"/>
      <c r="D46" s="11"/>
      <c r="E46" s="11"/>
      <c r="F46" s="11"/>
      <c r="G46" s="20"/>
    </row>
    <row r="47" spans="1:7" x14ac:dyDescent="0.3">
      <c r="A47" s="21"/>
      <c r="B47" s="22"/>
      <c r="C47" s="22"/>
      <c r="D47" s="23"/>
      <c r="E47" s="23"/>
      <c r="F47" s="23"/>
      <c r="G47" s="24"/>
    </row>
    <row r="48" spans="1:7" ht="19.8" customHeight="1" x14ac:dyDescent="0.3">
      <c r="B48" s="25"/>
      <c r="C48" s="25"/>
    </row>
    <row r="49" ht="19.8" customHeight="1" x14ac:dyDescent="0.3"/>
    <row r="50" ht="19.8" customHeight="1" x14ac:dyDescent="0.3"/>
    <row r="51" ht="19.8" customHeight="1" x14ac:dyDescent="0.3"/>
    <row r="52" ht="19.8" customHeight="1" x14ac:dyDescent="0.3"/>
    <row r="53" ht="19.8" customHeight="1" x14ac:dyDescent="0.3"/>
    <row r="54" ht="19.8" customHeight="1" x14ac:dyDescent="0.3"/>
    <row r="55" ht="19.8" customHeight="1" x14ac:dyDescent="0.3"/>
    <row r="56" ht="19.8" customHeight="1" x14ac:dyDescent="0.3"/>
    <row r="57" ht="19.8" customHeight="1" x14ac:dyDescent="0.3"/>
    <row r="58" ht="19.8" customHeight="1" x14ac:dyDescent="0.3"/>
    <row r="59" ht="19.8" customHeight="1" x14ac:dyDescent="0.3"/>
    <row r="60" ht="19.8" customHeight="1" x14ac:dyDescent="0.3"/>
    <row r="61" ht="19.8" customHeight="1" x14ac:dyDescent="0.3"/>
    <row r="62" ht="19.8" customHeight="1" x14ac:dyDescent="0.3"/>
  </sheetData>
  <sheetProtection algorithmName="SHA-512" hashValue="lFl8teo71IS/gnQRiOeGJsoJEFAW+jFTKy8gAf0TSK4GolumEcejCoB8NbBXOmf+5W232e65hf/SF98YQEZVbA==" saltValue="ZPgJZfmhCQeSQQ+B027QjA==" spinCount="100000" sheet="1" objects="1" scenarios="1" selectLockedCells="1"/>
  <mergeCells count="9">
    <mergeCell ref="B12:C12"/>
    <mergeCell ref="B13:C13"/>
    <mergeCell ref="B14:C14"/>
    <mergeCell ref="B2:C3"/>
    <mergeCell ref="F2:F3"/>
    <mergeCell ref="B6:C6"/>
    <mergeCell ref="B7:C7"/>
    <mergeCell ref="B8:C8"/>
    <mergeCell ref="B9:C9"/>
  </mergeCells>
  <dataValidations count="2">
    <dataValidation type="list" allowBlank="1" showInputMessage="1" showErrorMessage="1" sqref="E16:E18 E25:E26 E31:E33 E35 E38" xr:uid="{FCE73508-2A9E-42B8-9722-5E8BC5F7436B}">
      <formula1>"0,1"</formula1>
    </dataValidation>
    <dataValidation type="custom" operator="lessThanOrEqual" allowBlank="1" showInputMessage="1" showErrorMessage="1" sqref="E43" xr:uid="{E61C59E2-CC4A-43C8-9BDC-7E88C66C7B09}">
      <formula1>E43&lt;=D42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Facile Sprint 1100</vt:lpstr>
      <vt:lpstr>Facile Elegance 1000</vt:lpstr>
      <vt:lpstr>Facile Superior H4000</vt:lpstr>
      <vt:lpstr>Facile Graziosa Freecurve</vt:lpstr>
      <vt:lpstr>Infinity Curvilineo Bespoke</vt:lpstr>
    </vt:vector>
  </TitlesOfParts>
  <Company>Medicalbroker srl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Fabbris</dc:creator>
  <dc:description>OTTOBRE 2025</dc:description>
  <cp:lastModifiedBy>Gabriele Fabbris</cp:lastModifiedBy>
  <dcterms:created xsi:type="dcterms:W3CDTF">2023-07-24T09:54:47Z</dcterms:created>
  <dcterms:modified xsi:type="dcterms:W3CDTF">2026-01-19T16:12:38Z</dcterms:modified>
  <cp:version>2</cp:version>
</cp:coreProperties>
</file>